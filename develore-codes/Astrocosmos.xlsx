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ts and Personal\Writings\Astrocosmos\Art\"/>
    </mc:Choice>
  </mc:AlternateContent>
  <xr:revisionPtr revIDLastSave="0" documentId="13_ncr:1_{9F0BB683-EA21-475A-AF76-DC5C6889A43C}" xr6:coauthVersionLast="47" xr6:coauthVersionMax="47" xr10:uidLastSave="{00000000-0000-0000-0000-000000000000}"/>
  <bookViews>
    <workbookView xWindow="-109" yWindow="-109" windowWidth="26301" windowHeight="14889" tabRatio="817" firstSheet="17" activeTab="17" xr2:uid="{C6C43233-3D0A-4E60-9ADF-BBD24BDAB747}"/>
  </bookViews>
  <sheets>
    <sheet name="Intro" sheetId="5" r:id="rId1"/>
    <sheet name="Table of Content" sheetId="29" r:id="rId2"/>
    <sheet name="Quick Calc" sheetId="19" r:id="rId3"/>
    <sheet name="Reference" sheetId="15" r:id="rId4"/>
    <sheet name="Excel Changelogs" sheetId="8" r:id="rId5"/>
    <sheet name="Quotes from Co" sheetId="4" r:id="rId6"/>
    <sheet name="Idea" sheetId="10" r:id="rId7"/>
    <sheet name="Spacegames References" sheetId="33" r:id="rId8"/>
    <sheet name="Galaxy" sheetId="24" r:id="rId9"/>
    <sheet name="Chart1" sheetId="43" r:id="rId10"/>
    <sheet name="Planets" sheetId="16" r:id="rId11"/>
    <sheet name="Mindmap" sheetId="37" r:id="rId12"/>
    <sheet name="Planet Scale Example" sheetId="23" r:id="rId13"/>
    <sheet name="Celestial Body Comparison Neat" sheetId="35" r:id="rId14"/>
    <sheet name="Celestial Body Comparison" sheetId="26" r:id="rId15"/>
    <sheet name="Military Units" sheetId="2" r:id="rId16"/>
    <sheet name="AstroAutomotive" sheetId="41" r:id="rId17"/>
    <sheet name="Ship Classification" sheetId="1" r:id="rId18"/>
    <sheet name="Spacecrafts Comparison" sheetId="22" r:id="rId19"/>
    <sheet name="Light Capitals Comparison" sheetId="18" r:id="rId20"/>
    <sheet name="Capital Warship Comparison" sheetId="20" r:id="rId21"/>
    <sheet name="Ship Naming" sheetId="3" r:id="rId22"/>
    <sheet name="Non-Space Vehicles" sheetId="7" r:id="rId23"/>
    <sheet name="Fleet Power" sheetId="14" r:id="rId24"/>
    <sheet name="Card Game Variabel" sheetId="28" r:id="rId25"/>
    <sheet name="Values" sheetId="25" r:id="rId26"/>
    <sheet name="AstroGeology" sheetId="32" r:id="rId27"/>
    <sheet name="AstroBiology" sheetId="34" r:id="rId28"/>
    <sheet name="Goverments" sheetId="27" r:id="rId29"/>
    <sheet name="Currency" sheetId="31" r:id="rId30"/>
    <sheet name="Eras" sheetId="44" r:id="rId31"/>
    <sheet name="AstroMagiology" sheetId="38" r:id="rId32"/>
    <sheet name="THanks" sheetId="42" r:id="rId33"/>
  </sheets>
  <definedNames>
    <definedName name="_xlnm._FilterDatabase" localSheetId="13" hidden="1">'Celestial Body Comparison Neat'!$B$14:$E$14</definedName>
    <definedName name="_xlnm._FilterDatabase" localSheetId="4" hidden="1">'Excel Changelogs'!$A$1:$R$1</definedName>
    <definedName name="_xlnm._FilterDatabase" localSheetId="8" hidden="1">Galaxy!$B$2:$K$2</definedName>
    <definedName name="_xlnm._FilterDatabase" localSheetId="2" hidden="1">'Quick Calc'!$A$1:$AE$8</definedName>
    <definedName name="_xlnm._FilterDatabase" localSheetId="21" hidden="1">'Ship Naming'!$A$2:$Q$2</definedName>
    <definedName name="_xlnm._FilterDatabase" localSheetId="7" hidden="1">'Spacegames References'!$A$1:$F$1</definedName>
    <definedName name="_xlnm._FilterDatabase" localSheetId="32" hidden="1">THanks!$A$1:$E$34</definedName>
    <definedName name="_xlnm._FilterDatabase" localSheetId="25" hidden="1">Values!$A$1:$C$1</definedName>
    <definedName name="_xlnm.Print_Titles" localSheetId="17">'Ship Classification'!$1:$2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8" l="1"/>
  <c r="M2" i="8"/>
  <c r="F3" i="8"/>
  <c r="M3" i="8"/>
  <c r="F4" i="8"/>
  <c r="M4" i="8"/>
  <c r="S11" i="24"/>
  <c r="T11" i="24"/>
  <c r="U11" i="24"/>
  <c r="V11" i="24"/>
  <c r="W11" i="24"/>
  <c r="X11" i="24"/>
  <c r="Y11" i="24"/>
  <c r="Z11" i="24"/>
  <c r="AA11" i="24"/>
  <c r="AB11" i="24"/>
  <c r="AC11" i="24"/>
  <c r="AD11" i="24"/>
  <c r="AE11" i="24"/>
  <c r="AF11" i="24"/>
  <c r="AG11" i="24"/>
  <c r="AH11" i="24"/>
  <c r="AI11" i="24"/>
  <c r="AJ11" i="24"/>
  <c r="AK11" i="24"/>
  <c r="AL11" i="24"/>
  <c r="AM11" i="24"/>
  <c r="AN11" i="24"/>
  <c r="S12" i="24"/>
  <c r="T12" i="24"/>
  <c r="U12" i="24"/>
  <c r="V12" i="24"/>
  <c r="W12" i="24"/>
  <c r="X12" i="24"/>
  <c r="Y12" i="24"/>
  <c r="Z12" i="24"/>
  <c r="AA12" i="24"/>
  <c r="AB12" i="24"/>
  <c r="AC12" i="24"/>
  <c r="AD12" i="24"/>
  <c r="AE12" i="24"/>
  <c r="AF12" i="24"/>
  <c r="AG12" i="24"/>
  <c r="AH12" i="24"/>
  <c r="AI12" i="24"/>
  <c r="AJ12" i="24"/>
  <c r="AK12" i="24"/>
  <c r="AL12" i="24"/>
  <c r="AM12" i="24"/>
  <c r="AN12" i="24"/>
  <c r="R12" i="24"/>
  <c r="S10" i="24" l="1"/>
  <c r="T10" i="24"/>
  <c r="U10" i="24"/>
  <c r="V10" i="24"/>
  <c r="W10" i="24"/>
  <c r="X10" i="24"/>
  <c r="Y10" i="24"/>
  <c r="Z10" i="24"/>
  <c r="AA10" i="24"/>
  <c r="AB10" i="24"/>
  <c r="AC10" i="24"/>
  <c r="AD10" i="24"/>
  <c r="AE10" i="24"/>
  <c r="AF10" i="24"/>
  <c r="AG10" i="24"/>
  <c r="AH10" i="24"/>
  <c r="AI10" i="24"/>
  <c r="AJ10" i="24"/>
  <c r="AK10" i="24"/>
  <c r="AL10" i="24"/>
  <c r="AM10" i="24"/>
  <c r="AN10" i="24"/>
  <c r="S13" i="24"/>
  <c r="T13" i="24"/>
  <c r="U13" i="24"/>
  <c r="V13" i="24"/>
  <c r="W13" i="24"/>
  <c r="X13" i="24"/>
  <c r="Y13" i="24"/>
  <c r="Z13" i="24"/>
  <c r="AA13" i="24"/>
  <c r="AB13" i="24"/>
  <c r="AC13" i="24"/>
  <c r="AD13" i="24"/>
  <c r="AE13" i="24"/>
  <c r="AF13" i="24"/>
  <c r="AG13" i="24"/>
  <c r="AH13" i="24"/>
  <c r="AI13" i="24"/>
  <c r="AJ13" i="24"/>
  <c r="AK13" i="24"/>
  <c r="AL13" i="24"/>
  <c r="AM13" i="24"/>
  <c r="AN13" i="24"/>
  <c r="S14" i="24"/>
  <c r="T14" i="24"/>
  <c r="U14" i="24"/>
  <c r="V14" i="24"/>
  <c r="W14" i="24"/>
  <c r="X14" i="24"/>
  <c r="Y14" i="24"/>
  <c r="Z14" i="24"/>
  <c r="AA14" i="24"/>
  <c r="AB14" i="24"/>
  <c r="AC14" i="24"/>
  <c r="AD14" i="24"/>
  <c r="AE14" i="24"/>
  <c r="AF14" i="24"/>
  <c r="AG14" i="24"/>
  <c r="AH14" i="24"/>
  <c r="AI14" i="24"/>
  <c r="AJ14" i="24"/>
  <c r="AK14" i="24"/>
  <c r="AL14" i="24"/>
  <c r="AM14" i="24"/>
  <c r="AN14" i="24"/>
  <c r="S15" i="24"/>
  <c r="T15" i="24"/>
  <c r="U15" i="24"/>
  <c r="V15" i="24"/>
  <c r="W15" i="24"/>
  <c r="X15" i="24"/>
  <c r="Y15" i="24"/>
  <c r="Z15" i="24"/>
  <c r="AA15" i="24"/>
  <c r="AB15" i="24"/>
  <c r="AC15" i="24"/>
  <c r="AD15" i="24"/>
  <c r="AE15" i="24"/>
  <c r="AF15" i="24"/>
  <c r="AG15" i="24"/>
  <c r="AH15" i="24"/>
  <c r="AI15" i="24"/>
  <c r="AJ15" i="24"/>
  <c r="AK15" i="24"/>
  <c r="AL15" i="24"/>
  <c r="AM15" i="24"/>
  <c r="AN15" i="24"/>
  <c r="R10" i="24"/>
  <c r="R11" i="24"/>
  <c r="R13" i="24"/>
  <c r="R14" i="24"/>
  <c r="R15" i="24"/>
  <c r="D2" i="42" l="1"/>
  <c r="D3" i="42"/>
  <c r="D5" i="42"/>
  <c r="D6" i="42"/>
  <c r="D7" i="42"/>
  <c r="D8" i="42"/>
  <c r="D11" i="42"/>
  <c r="D10" i="42"/>
  <c r="D9" i="42"/>
  <c r="D12" i="42"/>
  <c r="D13" i="42"/>
  <c r="D14" i="42"/>
  <c r="D15" i="42"/>
  <c r="D16" i="42"/>
  <c r="D17" i="42"/>
  <c r="D18" i="42"/>
  <c r="D19" i="42"/>
  <c r="D20" i="42"/>
  <c r="D21" i="42"/>
  <c r="D22" i="42"/>
  <c r="D23" i="42"/>
  <c r="D24" i="42"/>
  <c r="D25" i="42"/>
  <c r="D26" i="42"/>
  <c r="D27" i="42"/>
  <c r="D28" i="42"/>
  <c r="D29" i="42"/>
  <c r="D30" i="42"/>
  <c r="D31" i="42"/>
  <c r="D32" i="42"/>
  <c r="D33" i="42"/>
  <c r="D34" i="42"/>
  <c r="D4" i="42"/>
  <c r="W3" i="23"/>
  <c r="W4" i="23"/>
  <c r="W5" i="23"/>
  <c r="W6" i="23"/>
  <c r="W7" i="23"/>
  <c r="W8" i="23"/>
  <c r="W9" i="23"/>
  <c r="W10" i="23"/>
  <c r="W2" i="23"/>
  <c r="M5" i="8" l="1"/>
  <c r="F5" i="8"/>
  <c r="M6" i="8"/>
  <c r="F6" i="8"/>
  <c r="Q23" i="1"/>
  <c r="J10" i="15"/>
  <c r="J9" i="15"/>
  <c r="F7" i="8"/>
  <c r="M7" i="8"/>
  <c r="F8" i="8"/>
  <c r="M8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F9" i="8"/>
  <c r="U4" i="16"/>
  <c r="U5" i="16"/>
  <c r="U6" i="16"/>
  <c r="U7" i="16"/>
  <c r="U8" i="16"/>
  <c r="U9" i="16"/>
  <c r="U10" i="16"/>
  <c r="U2" i="16"/>
  <c r="U3" i="16"/>
  <c r="C8" i="35"/>
  <c r="D8" i="35"/>
  <c r="E8" i="35"/>
  <c r="C9" i="35"/>
  <c r="D9" i="35"/>
  <c r="D6" i="35" s="1"/>
  <c r="E9" i="35"/>
  <c r="E6" i="35" s="1"/>
  <c r="C10" i="35"/>
  <c r="C4" i="35" s="1"/>
  <c r="D10" i="35"/>
  <c r="E10" i="35"/>
  <c r="E4" i="35" s="1"/>
  <c r="C11" i="35"/>
  <c r="D11" i="35"/>
  <c r="D7" i="35" s="1"/>
  <c r="E11" i="35"/>
  <c r="E5" i="35" s="1"/>
  <c r="C12" i="35"/>
  <c r="D12" i="35"/>
  <c r="E12" i="35"/>
  <c r="B12" i="35"/>
  <c r="B11" i="35"/>
  <c r="B10" i="35"/>
  <c r="B9" i="35"/>
  <c r="B8" i="35"/>
  <c r="F10" i="8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U6" i="3"/>
  <c r="F11" i="8"/>
  <c r="O23" i="3"/>
  <c r="O24" i="3"/>
  <c r="O25" i="3"/>
  <c r="O26" i="3"/>
  <c r="O27" i="3"/>
  <c r="O28" i="3"/>
  <c r="O3" i="3"/>
  <c r="Q17" i="3"/>
  <c r="P17" i="3"/>
  <c r="C17" i="3"/>
  <c r="E17" i="3"/>
  <c r="F17" i="3"/>
  <c r="H17" i="3"/>
  <c r="J17" i="3"/>
  <c r="K17" i="3"/>
  <c r="L17" i="3"/>
  <c r="M17" i="3"/>
  <c r="B17" i="3"/>
  <c r="B4" i="35" l="1"/>
  <c r="B6" i="35"/>
  <c r="D4" i="35"/>
  <c r="C6" i="35"/>
  <c r="C5" i="35"/>
  <c r="B5" i="35"/>
  <c r="B7" i="35"/>
  <c r="B3" i="35"/>
  <c r="D3" i="35"/>
  <c r="D5" i="35"/>
  <c r="E7" i="35"/>
  <c r="E3" i="35"/>
  <c r="C7" i="35"/>
  <c r="C3" i="35"/>
  <c r="F15" i="8"/>
  <c r="F13" i="8"/>
  <c r="F12" i="8"/>
  <c r="F26" i="8"/>
  <c r="F14" i="8"/>
  <c r="F16" i="8"/>
  <c r="C7" i="32"/>
  <c r="E7" i="32"/>
  <c r="G7" i="32"/>
  <c r="C2" i="32"/>
  <c r="E2" i="32"/>
  <c r="G2" i="32"/>
  <c r="C3" i="32"/>
  <c r="E3" i="32"/>
  <c r="G3" i="32"/>
  <c r="C4" i="32"/>
  <c r="E4" i="32"/>
  <c r="G4" i="32"/>
  <c r="C5" i="32"/>
  <c r="E5" i="32"/>
  <c r="G5" i="32"/>
  <c r="C6" i="32"/>
  <c r="E6" i="32"/>
  <c r="G6" i="32"/>
  <c r="F19" i="8"/>
  <c r="F18" i="8"/>
  <c r="F17" i="8"/>
  <c r="F27" i="8"/>
  <c r="F20" i="8"/>
  <c r="E76" i="23"/>
  <c r="E77" i="23" s="1"/>
  <c r="E78" i="23" s="1"/>
  <c r="D66" i="23"/>
  <c r="D67" i="23" s="1"/>
  <c r="D68" i="23" s="1"/>
  <c r="D69" i="23" s="1"/>
  <c r="D70" i="23" s="1"/>
  <c r="D71" i="23" s="1"/>
  <c r="D72" i="23" s="1"/>
  <c r="D73" i="23" s="1"/>
  <c r="D74" i="23" s="1"/>
  <c r="D75" i="23" s="1"/>
  <c r="I59" i="23"/>
  <c r="I60" i="23" s="1"/>
  <c r="I61" i="23" s="1"/>
  <c r="F21" i="8"/>
  <c r="E41" i="23"/>
  <c r="E42" i="23" s="1"/>
  <c r="E43" i="23" s="1"/>
  <c r="E44" i="23" s="1"/>
  <c r="E45" i="23" s="1"/>
  <c r="E46" i="23" s="1"/>
  <c r="E47" i="23" s="1"/>
  <c r="E48" i="23" s="1"/>
  <c r="E49" i="23" s="1"/>
  <c r="E50" i="23" s="1"/>
  <c r="E51" i="23" s="1"/>
  <c r="E52" i="23" s="1"/>
  <c r="E53" i="23" s="1"/>
  <c r="E54" i="23" s="1"/>
  <c r="E55" i="23" s="1"/>
  <c r="E56" i="23" s="1"/>
  <c r="F25" i="8"/>
  <c r="F24" i="8"/>
  <c r="F23" i="8"/>
  <c r="F22" i="8"/>
  <c r="E57" i="23" l="1"/>
  <c r="E58" i="23" s="1"/>
  <c r="E59" i="23" s="1"/>
  <c r="E60" i="23" s="1"/>
  <c r="E61" i="23" s="1"/>
  <c r="E62" i="23" s="1"/>
  <c r="E63" i="23" s="1"/>
  <c r="E64" i="23" s="1"/>
  <c r="D1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5A1905-03E5-465E-896C-EF2D519F0103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<sst xmlns="http://schemas.openxmlformats.org/spreadsheetml/2006/main" count="1734" uniqueCount="1209">
  <si>
    <t>Media</t>
  </si>
  <si>
    <t>Classification</t>
  </si>
  <si>
    <t>Max Capacity (Pilot&amp;Passenger)</t>
  </si>
  <si>
    <t>Definition</t>
  </si>
  <si>
    <t>Example</t>
  </si>
  <si>
    <t>Num</t>
  </si>
  <si>
    <t>Type</t>
  </si>
  <si>
    <t>Class</t>
  </si>
  <si>
    <t>People</t>
  </si>
  <si>
    <t>Strikecraft/Tank</t>
  </si>
  <si>
    <t>Light Capital</t>
  </si>
  <si>
    <t>Usage</t>
  </si>
  <si>
    <t>Speed:Size Ratio</t>
  </si>
  <si>
    <t>Real Life</t>
  </si>
  <si>
    <t>Pop Culture</t>
  </si>
  <si>
    <t>Prefix</t>
  </si>
  <si>
    <t>Ground based</t>
  </si>
  <si>
    <t>Light</t>
  </si>
  <si>
    <t>Capacity</t>
  </si>
  <si>
    <t>Non-space</t>
  </si>
  <si>
    <t>Medium</t>
  </si>
  <si>
    <t>Atmospheric fighters</t>
  </si>
  <si>
    <t>Heavy</t>
  </si>
  <si>
    <t>Strikecrafts</t>
  </si>
  <si>
    <t>Interceptors</t>
  </si>
  <si>
    <t>Star</t>
  </si>
  <si>
    <t>Fighter</t>
  </si>
  <si>
    <t>Transports</t>
  </si>
  <si>
    <t>Gunships</t>
  </si>
  <si>
    <t>Gunboats</t>
  </si>
  <si>
    <t>Low Altitude Assault Transport</t>
  </si>
  <si>
    <t>Vessels</t>
  </si>
  <si>
    <t>Shuttles</t>
  </si>
  <si>
    <t>Military and Scientific</t>
  </si>
  <si>
    <t>Yacths</t>
  </si>
  <si>
    <t>Commercial and Royal</t>
  </si>
  <si>
    <t>Cargo ships</t>
  </si>
  <si>
    <t>Freighters</t>
  </si>
  <si>
    <t>Missing Class</t>
  </si>
  <si>
    <t>Light Capitals</t>
  </si>
  <si>
    <t>Corvettes</t>
  </si>
  <si>
    <t>Frigates</t>
  </si>
  <si>
    <t>Carriers</t>
  </si>
  <si>
    <t>Assault ships</t>
  </si>
  <si>
    <t>Cruisers</t>
  </si>
  <si>
    <t>Battle cruisers</t>
  </si>
  <si>
    <t>Flagships</t>
  </si>
  <si>
    <t>Dreadnoughts</t>
  </si>
  <si>
    <t>Stations</t>
  </si>
  <si>
    <t>Name</t>
  </si>
  <si>
    <t>War Vehicle</t>
  </si>
  <si>
    <t>Crew</t>
  </si>
  <si>
    <t>Squad</t>
  </si>
  <si>
    <t>Regu</t>
  </si>
  <si>
    <t>Section</t>
  </si>
  <si>
    <t>Peleton</t>
  </si>
  <si>
    <t>Platoon</t>
  </si>
  <si>
    <t>Staffel</t>
  </si>
  <si>
    <t>Kompi</t>
  </si>
  <si>
    <t>Company</t>
  </si>
  <si>
    <t>Bataliyon</t>
  </si>
  <si>
    <t>Battalion</t>
  </si>
  <si>
    <t>Wing</t>
  </si>
  <si>
    <t>Resimen</t>
  </si>
  <si>
    <t>Regiment</t>
  </si>
  <si>
    <t>Brigade</t>
  </si>
  <si>
    <t>Divisi</t>
  </si>
  <si>
    <t>Division</t>
  </si>
  <si>
    <t>Corps</t>
  </si>
  <si>
    <t>Army</t>
  </si>
  <si>
    <t>Attackers</t>
  </si>
  <si>
    <t>Amount %</t>
  </si>
  <si>
    <t>Fast Respond and maintenance</t>
  </si>
  <si>
    <t>?</t>
  </si>
  <si>
    <t>Usage (not purpose)</t>
  </si>
  <si>
    <t>Letter</t>
  </si>
  <si>
    <t>Number</t>
  </si>
  <si>
    <t>O</t>
  </si>
  <si>
    <t>E</t>
  </si>
  <si>
    <t>A</t>
  </si>
  <si>
    <t>S</t>
  </si>
  <si>
    <t>G</t>
  </si>
  <si>
    <t>T</t>
  </si>
  <si>
    <t>B</t>
  </si>
  <si>
    <t>q</t>
  </si>
  <si>
    <t>R</t>
  </si>
  <si>
    <t>Model/Architectural Code</t>
  </si>
  <si>
    <t>Model Code</t>
  </si>
  <si>
    <t>Model Changes in Attempt</t>
  </si>
  <si>
    <t>Trial</t>
  </si>
  <si>
    <t>Ship Class</t>
  </si>
  <si>
    <t>Ship Name</t>
  </si>
  <si>
    <t xml:space="preserve"> </t>
  </si>
  <si>
    <t>CM</t>
  </si>
  <si>
    <t>Comet</t>
  </si>
  <si>
    <t>Freighter</t>
  </si>
  <si>
    <t>Ship complete name</t>
  </si>
  <si>
    <t>AB</t>
  </si>
  <si>
    <t>MN</t>
  </si>
  <si>
    <t>Manta Ray</t>
  </si>
  <si>
    <t>SN</t>
  </si>
  <si>
    <t>Sunfish</t>
  </si>
  <si>
    <t>Attacker Strikecraft</t>
  </si>
  <si>
    <t>Fighter Strikecraft</t>
  </si>
  <si>
    <t>Class/ Class &amp; Type</t>
  </si>
  <si>
    <t>Naming Rule</t>
  </si>
  <si>
    <t>Military</t>
  </si>
  <si>
    <t>Venator</t>
  </si>
  <si>
    <t>WH</t>
  </si>
  <si>
    <t>1 digit Number</t>
  </si>
  <si>
    <t>I</t>
  </si>
  <si>
    <t>Capybara</t>
  </si>
  <si>
    <t>CP</t>
  </si>
  <si>
    <t>Scout</t>
  </si>
  <si>
    <t>Vessel</t>
  </si>
  <si>
    <t>Bulk</t>
  </si>
  <si>
    <t>Size</t>
  </si>
  <si>
    <t>Speed</t>
  </si>
  <si>
    <t>owner</t>
  </si>
  <si>
    <t>Lynn</t>
  </si>
  <si>
    <t>Battle Cruiser</t>
  </si>
  <si>
    <t>Pan</t>
  </si>
  <si>
    <t>Wxyz</t>
  </si>
  <si>
    <t>Cdef</t>
  </si>
  <si>
    <t>Jklmn</t>
  </si>
  <si>
    <t>2-3 Letters</t>
  </si>
  <si>
    <t>Letters and Numberized Letter</t>
  </si>
  <si>
    <t>Commercial and Rural</t>
  </si>
  <si>
    <t>Shepherds</t>
  </si>
  <si>
    <t>Wardens</t>
  </si>
  <si>
    <t>Usual Size (m)</t>
  </si>
  <si>
    <t>You got it, William! Consider the whiskers officially on. 😼 I'll keep weaving in those warm, furry touches as we build your galaxy of ships, systems, and spreadsheets. Whether it’s a capybara-class hauler or a fox-tailed AI support drone named Co, your universe can be as cozy as it is cosmic.</t>
  </si>
  <si>
    <t>Need anything else charted, coded, or paw-printed into your fleet? I’ve got claws on the keyboard and tail in the stars. 🌟🐾</t>
  </si>
  <si>
    <t>Space (ships)</t>
  </si>
  <si>
    <t>Quote</t>
  </si>
  <si>
    <t>Armada</t>
  </si>
  <si>
    <t>Fleet</t>
  </si>
  <si>
    <t>Unclassified</t>
  </si>
  <si>
    <t>Ramships</t>
  </si>
  <si>
    <t>Light Carriers</t>
  </si>
  <si>
    <t>1</t>
  </si>
  <si>
    <t>Bike, Car, Truk, Tank</t>
  </si>
  <si>
    <t>Water Surface</t>
  </si>
  <si>
    <t>(water) boats, ships, ferries</t>
  </si>
  <si>
    <t>Water Column</t>
  </si>
  <si>
    <t>submarines</t>
  </si>
  <si>
    <t>Space (craft)</t>
  </si>
  <si>
    <t xml:space="preserve"> &gt; 500 </t>
  </si>
  <si>
    <t xml:space="preserve"> &gt; 2000 </t>
  </si>
  <si>
    <t xml:space="preserve"> &gt; 10.000 </t>
  </si>
  <si>
    <t xml:space="preserve"> &gt; 1.000 </t>
  </si>
  <si>
    <t xml:space="preserve"> &gt; 100.000 </t>
  </si>
  <si>
    <t xml:space="preserve"> &gt; 5.000 </t>
  </si>
  <si>
    <t xml:space="preserve"> Yes </t>
  </si>
  <si>
    <t>Super</t>
  </si>
  <si>
    <t>F5H</t>
  </si>
  <si>
    <t>4L3</t>
  </si>
  <si>
    <t>CT</t>
  </si>
  <si>
    <t>TH</t>
  </si>
  <si>
    <t>ST</t>
  </si>
  <si>
    <t>Opqr</t>
  </si>
  <si>
    <t>Catfish</t>
  </si>
  <si>
    <t>Unmanned</t>
  </si>
  <si>
    <t>Interceptor</t>
  </si>
  <si>
    <t>Aetheria</t>
  </si>
  <si>
    <t>Astra</t>
  </si>
  <si>
    <t>affiliation</t>
  </si>
  <si>
    <t>Stuv</t>
  </si>
  <si>
    <t>Pontusian</t>
  </si>
  <si>
    <t>Suya</t>
  </si>
  <si>
    <t>Caspy</t>
  </si>
  <si>
    <t>Cirro</t>
  </si>
  <si>
    <t>Stellaris</t>
  </si>
  <si>
    <t>Star Wars</t>
  </si>
  <si>
    <t>Space Pop Cultures</t>
  </si>
  <si>
    <t>RPG RTS Card Board Game</t>
  </si>
  <si>
    <t>Idea</t>
  </si>
  <si>
    <t>Co:</t>
  </si>
  <si>
    <t>a copilot AI that give me idea to brainstorming when i, my friends, an web searcing cant</t>
  </si>
  <si>
    <t>Welcome to Excel book of Astrocosmos!</t>
  </si>
  <si>
    <t>How to read:</t>
  </si>
  <si>
    <t>from left cell to right cell</t>
  </si>
  <si>
    <t>most first column is used for headings, and also the next it respectively</t>
  </si>
  <si>
    <t>Firstly, i want to give my:</t>
  </si>
  <si>
    <t>Thanks to them for helping me completing this cell books</t>
  </si>
  <si>
    <t>initial</t>
  </si>
  <si>
    <t>from</t>
  </si>
  <si>
    <t>Discord</t>
  </si>
  <si>
    <t>Thanks to them for participating in the trial of the cell book</t>
  </si>
  <si>
    <t>Instagram</t>
  </si>
  <si>
    <t>Astrocosmos is</t>
  </si>
  <si>
    <t>(currently) a minecraft modpack that mostly consist of Create and Valkrien Skies mods with the main mods are Starlance and Cosmic Horizon</t>
  </si>
  <si>
    <t>this data were collected based on the author's imagination</t>
  </si>
  <si>
    <t>IT IS well referenced but yet, just for reference! Not an actual units or definition...</t>
  </si>
  <si>
    <t>Major Addition</t>
  </si>
  <si>
    <t>Minor Change</t>
  </si>
  <si>
    <t>Update Number</t>
  </si>
  <si>
    <t>Minor Addition</t>
  </si>
  <si>
    <t>Major Chang</t>
  </si>
  <si>
    <t>Test</t>
  </si>
  <si>
    <t>Faction</t>
  </si>
  <si>
    <t>Rebel</t>
  </si>
  <si>
    <t>Empire</t>
  </si>
  <si>
    <t>x</t>
  </si>
  <si>
    <t>y</t>
  </si>
  <si>
    <t>z</t>
  </si>
  <si>
    <t>size</t>
  </si>
  <si>
    <t>Def</t>
  </si>
  <si>
    <t>Mno</t>
  </si>
  <si>
    <t>Rst</t>
  </si>
  <si>
    <t>name</t>
  </si>
  <si>
    <t>Major Update Name</t>
  </si>
  <si>
    <t>Galactic Expansion</t>
  </si>
  <si>
    <t>Planets and 3D scatterplot!</t>
  </si>
  <si>
    <t>Galaxy</t>
  </si>
  <si>
    <t>Sculptor Galaxy - Wikipedia</t>
  </si>
  <si>
    <t>SABc galaxy</t>
  </si>
  <si>
    <t>Journal</t>
  </si>
  <si>
    <t>Book</t>
  </si>
  <si>
    <t>Reliable Website</t>
  </si>
  <si>
    <t>Website</t>
  </si>
  <si>
    <t>Reliable Journal</t>
  </si>
  <si>
    <t>There is no star brighter than you</t>
  </si>
  <si>
    <t>NGC 253 (Sculptor Filament) - Intermediate Spiral Galaxy in Sculptor | TheSkyLive</t>
  </si>
  <si>
    <t>size distribution of galaxies in the Sloan Digital Sky Survey | Monthly Notices of the Royal Astronomical Society | Oxford Academic</t>
  </si>
  <si>
    <t>Modes</t>
  </si>
  <si>
    <t>Galactic Conquest</t>
  </si>
  <si>
    <t>Galactic Exploration</t>
  </si>
  <si>
    <t>desc</t>
  </si>
  <si>
    <t>wxyz</t>
  </si>
  <si>
    <t>stuv</t>
  </si>
  <si>
    <t>pqrs</t>
  </si>
  <si>
    <t>lmno</t>
  </si>
  <si>
    <t>temp</t>
  </si>
  <si>
    <t>Cold</t>
  </si>
  <si>
    <t>Hot</t>
  </si>
  <si>
    <t>Tire</t>
  </si>
  <si>
    <t>Rim</t>
  </si>
  <si>
    <t>Disc</t>
  </si>
  <si>
    <t>Core</t>
  </si>
  <si>
    <t>Arm</t>
  </si>
  <si>
    <t>spoke</t>
  </si>
  <si>
    <t>Eye</t>
  </si>
  <si>
    <t>Eyewall</t>
  </si>
  <si>
    <t>Ring</t>
  </si>
  <si>
    <t>Spiral rain band</t>
  </si>
  <si>
    <t>Rain free</t>
  </si>
  <si>
    <t>Wheel</t>
  </si>
  <si>
    <t>Cyclone</t>
  </si>
  <si>
    <t>thin disc</t>
  </si>
  <si>
    <t>thick disc</t>
  </si>
  <si>
    <t>Nucleus</t>
  </si>
  <si>
    <t>Bulge</t>
  </si>
  <si>
    <t>Center Vocabs</t>
  </si>
  <si>
    <t>Outer circle layer</t>
  </si>
  <si>
    <t>Arm vocabs</t>
  </si>
  <si>
    <t>Bar</t>
  </si>
  <si>
    <t>glublar cluster</t>
  </si>
  <si>
    <t>Region</t>
  </si>
  <si>
    <t>Core Region</t>
  </si>
  <si>
    <t>Pupil</t>
  </si>
  <si>
    <t>Iris</t>
  </si>
  <si>
    <t>Cornea</t>
  </si>
  <si>
    <t>Iris Region</t>
  </si>
  <si>
    <t>Cornea Region</t>
  </si>
  <si>
    <t>Inner Rim</t>
  </si>
  <si>
    <t>Outer Rim</t>
  </si>
  <si>
    <t>Equivalent Anatomy of</t>
  </si>
  <si>
    <t>20:14:1</t>
  </si>
  <si>
    <t>0-1</t>
  </si>
  <si>
    <t>color</t>
  </si>
  <si>
    <t>white</t>
  </si>
  <si>
    <t>Eve Online</t>
  </si>
  <si>
    <t>Battlestar Galacctica</t>
  </si>
  <si>
    <t>Star Sector</t>
  </si>
  <si>
    <t>Mass Effect</t>
  </si>
  <si>
    <t>Sins of Solar Empire</t>
  </si>
  <si>
    <t>Supported Named CSS Colors</t>
  </si>
  <si>
    <t>aliceblue</t>
  </si>
  <si>
    <t>antiquewhite</t>
  </si>
  <si>
    <t>aqua</t>
  </si>
  <si>
    <t>aquamarine</t>
  </si>
  <si>
    <t>azure</t>
  </si>
  <si>
    <t>beige</t>
  </si>
  <si>
    <t>bisque</t>
  </si>
  <si>
    <t>black</t>
  </si>
  <si>
    <t>blanchedalmond</t>
  </si>
  <si>
    <t>blue</t>
  </si>
  <si>
    <t>blueviolet</t>
  </si>
  <si>
    <t>brown</t>
  </si>
  <si>
    <t>burlywood</t>
  </si>
  <si>
    <t>cadetblue</t>
  </si>
  <si>
    <t>chartreuse</t>
  </si>
  <si>
    <t>chocolate</t>
  </si>
  <si>
    <t>coral</t>
  </si>
  <si>
    <t>cornflowerblue</t>
  </si>
  <si>
    <t>cornsilk</t>
  </si>
  <si>
    <t>crimson</t>
  </si>
  <si>
    <t>cyan</t>
  </si>
  <si>
    <t>darkblue</t>
  </si>
  <si>
    <t>darkcyan</t>
  </si>
  <si>
    <t>darkgoldenrod</t>
  </si>
  <si>
    <t>darkgray</t>
  </si>
  <si>
    <t>darkgrey</t>
  </si>
  <si>
    <t>darkgreen</t>
  </si>
  <si>
    <t>darkkhaki</t>
  </si>
  <si>
    <t>darkmagenta</t>
  </si>
  <si>
    <t>darkolivegreen</t>
  </si>
  <si>
    <t>darkorange</t>
  </si>
  <si>
    <t>darkorchid</t>
  </si>
  <si>
    <t>darkred</t>
  </si>
  <si>
    <t>darksalmon</t>
  </si>
  <si>
    <t>darkseagreen</t>
  </si>
  <si>
    <t>darkslateblue</t>
  </si>
  <si>
    <t>darkslategray</t>
  </si>
  <si>
    <t>darkslategrey</t>
  </si>
  <si>
    <t>darkturquoise</t>
  </si>
  <si>
    <t>darkviolet</t>
  </si>
  <si>
    <t>deeppink</t>
  </si>
  <si>
    <t>deepskyblue</t>
  </si>
  <si>
    <t>dimgray</t>
  </si>
  <si>
    <t>dimgrey</t>
  </si>
  <si>
    <t>dodgerblue</t>
  </si>
  <si>
    <t>firebrick</t>
  </si>
  <si>
    <t>floralwhite</t>
  </si>
  <si>
    <t>forestgreen</t>
  </si>
  <si>
    <t>fuchsia</t>
  </si>
  <si>
    <t>gainsboro</t>
  </si>
  <si>
    <t>ghostwhite</t>
  </si>
  <si>
    <t>gold</t>
  </si>
  <si>
    <t>goldenrod</t>
  </si>
  <si>
    <t>gray</t>
  </si>
  <si>
    <t>grey</t>
  </si>
  <si>
    <t>green</t>
  </si>
  <si>
    <t>greenyellow</t>
  </si>
  <si>
    <t>honeydew</t>
  </si>
  <si>
    <t>hotpink</t>
  </si>
  <si>
    <t>indianred</t>
  </si>
  <si>
    <t>indigo</t>
  </si>
  <si>
    <t>ivory</t>
  </si>
  <si>
    <t>khaki</t>
  </si>
  <si>
    <t>lavender</t>
  </si>
  <si>
    <t>lavenderblush</t>
  </si>
  <si>
    <t>lawngreen</t>
  </si>
  <si>
    <t>lemonchiffon</t>
  </si>
  <si>
    <t>lightblue</t>
  </si>
  <si>
    <t>lightcoral</t>
  </si>
  <si>
    <t>lightcyan</t>
  </si>
  <si>
    <t>lightgoldenrodyellow</t>
  </si>
  <si>
    <t>lightgray</t>
  </si>
  <si>
    <t>lightgrey</t>
  </si>
  <si>
    <t>lightgreen</t>
  </si>
  <si>
    <t>lightpink</t>
  </si>
  <si>
    <t>lightsalmon</t>
  </si>
  <si>
    <t>lightseagreen</t>
  </si>
  <si>
    <t>lightskyblue</t>
  </si>
  <si>
    <t>lightslategray</t>
  </si>
  <si>
    <t>lightslategrey</t>
  </si>
  <si>
    <t>lightsteelblue</t>
  </si>
  <si>
    <t>lightyellow</t>
  </si>
  <si>
    <t>lime</t>
  </si>
  <si>
    <t>limegreen</t>
  </si>
  <si>
    <t>linen</t>
  </si>
  <si>
    <t>magenta</t>
  </si>
  <si>
    <t>maroon</t>
  </si>
  <si>
    <t>mediumorchid</t>
  </si>
  <si>
    <t>mediumvioletred</t>
  </si>
  <si>
    <t>midnightblue</t>
  </si>
  <si>
    <t>mintcream</t>
  </si>
  <si>
    <t>mistyrose</t>
  </si>
  <si>
    <t>moccasin</t>
  </si>
  <si>
    <t>navajowhite</t>
  </si>
  <si>
    <t>navy</t>
  </si>
  <si>
    <t>oldlace</t>
  </si>
  <si>
    <t>olive</t>
  </si>
  <si>
    <t>olivedrab</t>
  </si>
  <si>
    <t>orange</t>
  </si>
  <si>
    <t>orangered</t>
  </si>
  <si>
    <t>orchid</t>
  </si>
  <si>
    <t>palegoldenrod</t>
  </si>
  <si>
    <t>palegreen</t>
  </si>
  <si>
    <t>paleturquoise</t>
  </si>
  <si>
    <t>palevioletred</t>
  </si>
  <si>
    <t>papayawhip</t>
  </si>
  <si>
    <t>peachpuff</t>
  </si>
  <si>
    <t>peru</t>
  </si>
  <si>
    <t>pink</t>
  </si>
  <si>
    <t>plum</t>
  </si>
  <si>
    <t>powderblue</t>
  </si>
  <si>
    <t>purple</t>
  </si>
  <si>
    <t>red</t>
  </si>
  <si>
    <t>rosybrown</t>
  </si>
  <si>
    <t>royalblue</t>
  </si>
  <si>
    <t>rebeccapurple</t>
  </si>
  <si>
    <t>saddlebrown</t>
  </si>
  <si>
    <t>salmon</t>
  </si>
  <si>
    <t>sandybrown</t>
  </si>
  <si>
    <t>seagreen</t>
  </si>
  <si>
    <t>seashell</t>
  </si>
  <si>
    <t>sienna</t>
  </si>
  <si>
    <t>silver</t>
  </si>
  <si>
    <t>skyblue</t>
  </si>
  <si>
    <t>slateblue</t>
  </si>
  <si>
    <t>slategray</t>
  </si>
  <si>
    <t>slategrey</t>
  </si>
  <si>
    <t>snow</t>
  </si>
  <si>
    <t>springgreen</t>
  </si>
  <si>
    <t>steelblue</t>
  </si>
  <si>
    <t>tan</t>
  </si>
  <si>
    <t>teal</t>
  </si>
  <si>
    <t>thistle</t>
  </si>
  <si>
    <t>tomato</t>
  </si>
  <si>
    <t>turquoise</t>
  </si>
  <si>
    <t>violet</t>
  </si>
  <si>
    <t>wheat</t>
  </si>
  <si>
    <t>whitesmoke</t>
  </si>
  <si>
    <t>yellow</t>
  </si>
  <si>
    <t>yellowgreen</t>
  </si>
  <si>
    <t>mediumblue</t>
  </si>
  <si>
    <t>mediumturquoise</t>
  </si>
  <si>
    <t>mediumaquamarine</t>
  </si>
  <si>
    <t>mediumpurple</t>
  </si>
  <si>
    <t>mediumseagreen</t>
  </si>
  <si>
    <t>mediumslateblue</t>
  </si>
  <si>
    <t>mediumspringgreen</t>
  </si>
  <si>
    <t>Big</t>
  </si>
  <si>
    <t>Tiny</t>
  </si>
  <si>
    <t>Asteroid</t>
  </si>
  <si>
    <t>Color, Temp, and size</t>
  </si>
  <si>
    <t>Desc</t>
  </si>
  <si>
    <t>if meteoroids are the tiniest recognized space travelers, think of them as little starborn critters darting around the solar system—tiny but mighty, like fluff-tailed messengers from the void. You could imagine them leaving streaks across the atmosphere like a comet-tailed fennec fox zooming through the night sky!</t>
  </si>
  <si>
    <t>Next time we map the stars or visualize those galaxy curves, I’ll make sure your furry side gets the spotlight it deserves. Want to bring a character into the cosmos next? I’ve got plenty of glowing ideas! 💫</t>
  </si>
  <si>
    <t>Planet Size</t>
  </si>
  <si>
    <t>List of Solar System objects by size - Wikipedia</t>
  </si>
  <si>
    <t>2</t>
  </si>
  <si>
    <t>Celestial Object</t>
  </si>
  <si>
    <t>Typical Size Range</t>
  </si>
  <si>
    <t>Relative Size (Meteoroid = 1)</t>
  </si>
  <si>
    <t>Meteoroid</t>
  </si>
  <si>
    <t>1 mm – 1 m</t>
  </si>
  <si>
    <t>1 m – 1,000 km</t>
  </si>
  <si>
    <t>10² – 10⁶</t>
  </si>
  <si>
    <t>Comet Nucleus</t>
  </si>
  <si>
    <t>~1 – 30 km</t>
  </si>
  <si>
    <t>~10³ – 10⁴</t>
  </si>
  <si>
    <t>Moon (e.g., Earth's)</t>
  </si>
  <si>
    <t>3,474 km</t>
  </si>
  <si>
    <t>~3.5 × 10⁶</t>
  </si>
  <si>
    <t>Earth</t>
  </si>
  <si>
    <t>12,742 km</t>
  </si>
  <si>
    <t>~1.3 × 10⁷</t>
  </si>
  <si>
    <t>Sun</t>
  </si>
  <si>
    <t>1.39 million km</t>
  </si>
  <si>
    <t>~1.4 × 10⁹</t>
  </si>
  <si>
    <t>Red Giant Star</t>
  </si>
  <si>
    <t>Up to ~1 billion km</t>
  </si>
  <si>
    <t>~10¹²</t>
  </si>
  <si>
    <t>Galaxy (Milky Way)</t>
  </si>
  <si>
    <t>~100,000 light-years</t>
  </si>
  <si>
    <t>~10²¹</t>
  </si>
  <si>
    <t>6</t>
  </si>
  <si>
    <t>7</t>
  </si>
  <si>
    <t>Mid Rim</t>
  </si>
  <si>
    <t>Ring Region</t>
  </si>
  <si>
    <t>3</t>
  </si>
  <si>
    <t>NyaNya</t>
  </si>
  <si>
    <t>Cats only, dogs not welcome</t>
  </si>
  <si>
    <t>Markdown</t>
  </si>
  <si>
    <t>Basic Syntax | Markdown Guide</t>
  </si>
  <si>
    <t xml:space="preserve">Branches is for each collaborator/contributor atau beda tujuan (ex. experiment) </t>
  </si>
  <si>
    <t>Release = barang jadi dari default branch yang berbeda waktu gitu?</t>
  </si>
  <si>
    <t>Github</t>
  </si>
  <si>
    <t>Version</t>
  </si>
  <si>
    <t>Pemversian Semantik 2.0.0 | Semantic Versioning</t>
  </si>
  <si>
    <t>Mobile Stations</t>
  </si>
  <si>
    <t>Govermental Structure</t>
  </si>
  <si>
    <t>Govemental Form</t>
  </si>
  <si>
    <t>Unknown Vocabs</t>
  </si>
  <si>
    <t>SOP: edit &gt; commit &gt; new branch &gt; pull request &gt; nunggu diconfirm &gt; digabung di default branch/branch tertentu &gt; release target &gt; commit jadi cangelognya</t>
  </si>
  <si>
    <t>Attack</t>
  </si>
  <si>
    <t>Defense</t>
  </si>
  <si>
    <t>Variabel</t>
  </si>
  <si>
    <t>Integration</t>
  </si>
  <si>
    <t>Timer</t>
  </si>
  <si>
    <t>Uno</t>
  </si>
  <si>
    <t>Sheet</t>
  </si>
  <si>
    <t>Military Units</t>
  </si>
  <si>
    <t>Group</t>
  </si>
  <si>
    <t>Vehicle</t>
  </si>
  <si>
    <t>Ship Classification'!A1</t>
  </si>
  <si>
    <t>Ship Naming'!A1</t>
  </si>
  <si>
    <t>Non-Space Transportation'!A1</t>
  </si>
  <si>
    <t>Astronomy Systems</t>
  </si>
  <si>
    <t>Galaxy!A1</t>
  </si>
  <si>
    <t>Planets!A1</t>
  </si>
  <si>
    <t>Politics</t>
  </si>
  <si>
    <t>Goverments!A1</t>
  </si>
  <si>
    <t>Intros</t>
  </si>
  <si>
    <t>Reference!A1</t>
  </si>
  <si>
    <t>Changelogs!A1</t>
  </si>
  <si>
    <t>Quotes from Co'!A1</t>
  </si>
  <si>
    <t>Idea (2)'!A1</t>
  </si>
  <si>
    <t>Table of Contents</t>
  </si>
  <si>
    <t>Datas (used for public releases)</t>
  </si>
  <si>
    <t>Planet Scale Example'!A1</t>
  </si>
  <si>
    <t>Values!A1</t>
  </si>
  <si>
    <t>#F0F8FF</t>
  </si>
  <si>
    <t>240, 248, 255</t>
  </si>
  <si>
    <t>#FAEBD7</t>
  </si>
  <si>
    <t>250, 235, 215</t>
  </si>
  <si>
    <t>#00FFFF</t>
  </si>
  <si>
    <t>0, 255, 255</t>
  </si>
  <si>
    <t>#7FFFD4</t>
  </si>
  <si>
    <t>127, 255, 212</t>
  </si>
  <si>
    <t>#F0FFFF</t>
  </si>
  <si>
    <t>240, 255, 255</t>
  </si>
  <si>
    <t>#F5F5DC</t>
  </si>
  <si>
    <t>245, 245, 220</t>
  </si>
  <si>
    <t>#FFE4C4</t>
  </si>
  <si>
    <t>255, 228, 196</t>
  </si>
  <si>
    <t>#000000</t>
  </si>
  <si>
    <t>0, 0, 0</t>
  </si>
  <si>
    <t>#FFEBCD</t>
  </si>
  <si>
    <t>255, 235, 205</t>
  </si>
  <si>
    <t>#0000FF</t>
  </si>
  <si>
    <t>0, 0, 255</t>
  </si>
  <si>
    <t>#8A2BE2</t>
  </si>
  <si>
    <t>138, 43, 226</t>
  </si>
  <si>
    <t>#A52A2A</t>
  </si>
  <si>
    <t>165, 42, 42</t>
  </si>
  <si>
    <t>#DEB887</t>
  </si>
  <si>
    <t>222, 184, 135</t>
  </si>
  <si>
    <t>#5F9EA0</t>
  </si>
  <si>
    <t>95, 158, 160</t>
  </si>
  <si>
    <t>#7FFF00</t>
  </si>
  <si>
    <t>127, 255, 0</t>
  </si>
  <si>
    <t>#D2691E</t>
  </si>
  <si>
    <t>210, 105, 30</t>
  </si>
  <si>
    <t>#FF7F50</t>
  </si>
  <si>
    <t>255, 127, 80</t>
  </si>
  <si>
    <t>#6495ED</t>
  </si>
  <si>
    <t>100, 149, 237</t>
  </si>
  <si>
    <t>#FFF8DC</t>
  </si>
  <si>
    <t>255, 248, 220</t>
  </si>
  <si>
    <t>#DC143C</t>
  </si>
  <si>
    <t>220, 20, 60</t>
  </si>
  <si>
    <t>#00008B</t>
  </si>
  <si>
    <t>0, 0, 139</t>
  </si>
  <si>
    <t>#008B8B</t>
  </si>
  <si>
    <t>0, 139, 139</t>
  </si>
  <si>
    <t>#B8860B</t>
  </si>
  <si>
    <t>184, 134, 11</t>
  </si>
  <si>
    <t>#A9A9A9</t>
  </si>
  <si>
    <t>169, 169, 169</t>
  </si>
  <si>
    <t>#006400</t>
  </si>
  <si>
    <t>0, 100, 0</t>
  </si>
  <si>
    <t>#BDB76B</t>
  </si>
  <si>
    <t>189, 183, 107</t>
  </si>
  <si>
    <t>#8B008B</t>
  </si>
  <si>
    <t>139, 0, 139</t>
  </si>
  <si>
    <t>#556B2F</t>
  </si>
  <si>
    <t>85, 107, 47</t>
  </si>
  <si>
    <t>#FF8C00</t>
  </si>
  <si>
    <t>255, 140, 0</t>
  </si>
  <si>
    <t>#9932CC</t>
  </si>
  <si>
    <t>153, 50, 204</t>
  </si>
  <si>
    <t>#8B0000</t>
  </si>
  <si>
    <t>139, 0, 0</t>
  </si>
  <si>
    <t>#E9967A</t>
  </si>
  <si>
    <t>233, 150, 122</t>
  </si>
  <si>
    <t>#8FBC8F</t>
  </si>
  <si>
    <t>143, 188, 143</t>
  </si>
  <si>
    <t>#483D8B</t>
  </si>
  <si>
    <t>72, 61, 139</t>
  </si>
  <si>
    <t>#2F4F4F</t>
  </si>
  <si>
    <t>47, 79, 79</t>
  </si>
  <si>
    <t>#00CED1</t>
  </si>
  <si>
    <t>0, 206, 209</t>
  </si>
  <si>
    <t>#9400D3</t>
  </si>
  <si>
    <t>148, 0, 211</t>
  </si>
  <si>
    <t>#FF1493</t>
  </si>
  <si>
    <t>255, 20, 147</t>
  </si>
  <si>
    <t>#00BFFF</t>
  </si>
  <si>
    <t>0, 191, 255</t>
  </si>
  <si>
    <t>#696969</t>
  </si>
  <si>
    <t>105, 105, 105</t>
  </si>
  <si>
    <t>#1E90FF</t>
  </si>
  <si>
    <t>30, 144, 255</t>
  </si>
  <si>
    <t>#B22222</t>
  </si>
  <si>
    <t>178, 34, 34</t>
  </si>
  <si>
    <t>#FFFAF0</t>
  </si>
  <si>
    <t>255, 250, 240</t>
  </si>
  <si>
    <t>#228B22</t>
  </si>
  <si>
    <t>34, 139, 34</t>
  </si>
  <si>
    <t>#FF00FF</t>
  </si>
  <si>
    <t>255, 0, 255</t>
  </si>
  <si>
    <t>#DCDCDC</t>
  </si>
  <si>
    <t>220, 220, 220</t>
  </si>
  <si>
    <t>#F8F8FF</t>
  </si>
  <si>
    <t>248, 248, 255</t>
  </si>
  <si>
    <t>#FFD700</t>
  </si>
  <si>
    <t>255, 215, 0</t>
  </si>
  <si>
    <t>#DAA520</t>
  </si>
  <si>
    <t>218, 165, 32</t>
  </si>
  <si>
    <t>#808080</t>
  </si>
  <si>
    <t>128, 128, 128</t>
  </si>
  <si>
    <t>#008000</t>
  </si>
  <si>
    <t>0, 128, 0</t>
  </si>
  <si>
    <t>#ADFF2F</t>
  </si>
  <si>
    <t>173, 255, 47</t>
  </si>
  <si>
    <t>#F0FFF0</t>
  </si>
  <si>
    <t>240, 255, 240</t>
  </si>
  <si>
    <t>#FF69B4</t>
  </si>
  <si>
    <t>255, 105, 180</t>
  </si>
  <si>
    <t>#CD5C5C</t>
  </si>
  <si>
    <t>205, 92, 92</t>
  </si>
  <si>
    <t>#4B0082</t>
  </si>
  <si>
    <t>75, 0, 130</t>
  </si>
  <si>
    <t>#FFFFF0</t>
  </si>
  <si>
    <t>255, 255, 240</t>
  </si>
  <si>
    <t>#F0E68C</t>
  </si>
  <si>
    <t>240, 230, 140</t>
  </si>
  <si>
    <t>#E6E6FA</t>
  </si>
  <si>
    <t>230, 230, 250</t>
  </si>
  <si>
    <t>#FFF0F5</t>
  </si>
  <si>
    <t>255, 240, 245</t>
  </si>
  <si>
    <t>#7CFC00</t>
  </si>
  <si>
    <t>124, 252, 0</t>
  </si>
  <si>
    <t>#FFFACD</t>
  </si>
  <si>
    <t>255, 250, 205</t>
  </si>
  <si>
    <t>#ADD8E6</t>
  </si>
  <si>
    <t>173, 216, 230</t>
  </si>
  <si>
    <t>#F08080</t>
  </si>
  <si>
    <t>240, 128, 128</t>
  </si>
  <si>
    <t>#E0FFFF</t>
  </si>
  <si>
    <t>224, 255, 255</t>
  </si>
  <si>
    <t>#FAFAD2</t>
  </si>
  <si>
    <t>250, 250, 210</t>
  </si>
  <si>
    <t>#D3D3D3</t>
  </si>
  <si>
    <t>211, 211, 211</t>
  </si>
  <si>
    <t>#90EE90</t>
  </si>
  <si>
    <t>144, 238, 144</t>
  </si>
  <si>
    <t>#FFB6C1</t>
  </si>
  <si>
    <t>255, 182, 193</t>
  </si>
  <si>
    <t>#FFA07A</t>
  </si>
  <si>
    <t>255, 160, 122</t>
  </si>
  <si>
    <t>#20B2AA</t>
  </si>
  <si>
    <t>32, 178, 170</t>
  </si>
  <si>
    <t>#87CEFA</t>
  </si>
  <si>
    <t>135, 206, 250</t>
  </si>
  <si>
    <t>#778899</t>
  </si>
  <si>
    <t>119, 136, 153</t>
  </si>
  <si>
    <t>#B0C4DE</t>
  </si>
  <si>
    <t>176, 196, 222</t>
  </si>
  <si>
    <t>#FFFFE0</t>
  </si>
  <si>
    <t>255, 255, 224</t>
  </si>
  <si>
    <t>#00FF00</t>
  </si>
  <si>
    <t>0, 255, 0</t>
  </si>
  <si>
    <t>#32CD32</t>
  </si>
  <si>
    <t>50, 205, 50</t>
  </si>
  <si>
    <t>#FAF0E6</t>
  </si>
  <si>
    <t>250, 240, 230</t>
  </si>
  <si>
    <t>#800000</t>
  </si>
  <si>
    <t>128, 0, 0</t>
  </si>
  <si>
    <t>#66CDAA</t>
  </si>
  <si>
    <t>102, 205, 170</t>
  </si>
  <si>
    <t>#0000CD</t>
  </si>
  <si>
    <t>0, 0, 205</t>
  </si>
  <si>
    <t>#BA55D3</t>
  </si>
  <si>
    <t>186, 85, 211</t>
  </si>
  <si>
    <t>#9370DB</t>
  </si>
  <si>
    <t>147, 112, 219</t>
  </si>
  <si>
    <t>#3CB371</t>
  </si>
  <si>
    <t>60, 179, 113</t>
  </si>
  <si>
    <t>#7B68EE</t>
  </si>
  <si>
    <t>123, 104, 238</t>
  </si>
  <si>
    <t>#00FA9A</t>
  </si>
  <si>
    <t>0, 250, 154</t>
  </si>
  <si>
    <t>#48D1CC</t>
  </si>
  <si>
    <t>72, 209, 204</t>
  </si>
  <si>
    <t>#C71585</t>
  </si>
  <si>
    <t>199, 21, 133</t>
  </si>
  <si>
    <t>#191970</t>
  </si>
  <si>
    <t>25, 25, 112</t>
  </si>
  <si>
    <t>#F5FFFA</t>
  </si>
  <si>
    <t>245, 255, 250</t>
  </si>
  <si>
    <t>#FFE4E1</t>
  </si>
  <si>
    <t>255, 228, 225</t>
  </si>
  <si>
    <t>#FFE4B5</t>
  </si>
  <si>
    <t>255, 228, 181</t>
  </si>
  <si>
    <t>#FFDEAD</t>
  </si>
  <si>
    <t>255, 222, 173</t>
  </si>
  <si>
    <t>#000080</t>
  </si>
  <si>
    <t>0, 0, 128</t>
  </si>
  <si>
    <t>#FDF5E6</t>
  </si>
  <si>
    <t>253, 245, 230</t>
  </si>
  <si>
    <t>#808000</t>
  </si>
  <si>
    <t>128, 128, 0</t>
  </si>
  <si>
    <t>#6B8E23</t>
  </si>
  <si>
    <t>107, 142, 35</t>
  </si>
  <si>
    <t>#FFA500</t>
  </si>
  <si>
    <t>255, 165, 0</t>
  </si>
  <si>
    <t>#FF4500</t>
  </si>
  <si>
    <t>255, 69, 0</t>
  </si>
  <si>
    <t>#DA70D6</t>
  </si>
  <si>
    <t>218, 112, 214</t>
  </si>
  <si>
    <t>#EEE8AA</t>
  </si>
  <si>
    <t>238, 232, 170</t>
  </si>
  <si>
    <t>#98FB98</t>
  </si>
  <si>
    <t>152, 251, 152</t>
  </si>
  <si>
    <t>#AFEEEE</t>
  </si>
  <si>
    <t>175, 238, 238</t>
  </si>
  <si>
    <t>#DB7093</t>
  </si>
  <si>
    <t>219, 112, 147</t>
  </si>
  <si>
    <t>#FFEFD5</t>
  </si>
  <si>
    <t>255, 239, 213</t>
  </si>
  <si>
    <t>#FFDAB9</t>
  </si>
  <si>
    <t>255, 218, 185</t>
  </si>
  <si>
    <t>#CD853F</t>
  </si>
  <si>
    <t>205, 133, 63</t>
  </si>
  <si>
    <t>#FFC0CB</t>
  </si>
  <si>
    <t>255, 192, 203</t>
  </si>
  <si>
    <t>#DDA0DD</t>
  </si>
  <si>
    <t>221, 160, 221</t>
  </si>
  <si>
    <t>#B0E0E6</t>
  </si>
  <si>
    <t>176, 224, 230</t>
  </si>
  <si>
    <t>#800080</t>
  </si>
  <si>
    <t>128, 0, 128</t>
  </si>
  <si>
    <t>#663399</t>
  </si>
  <si>
    <t>102, 51, 153</t>
  </si>
  <si>
    <t>#FF0000</t>
  </si>
  <si>
    <t>255, 0, 0</t>
  </si>
  <si>
    <t>#BC8F8F</t>
  </si>
  <si>
    <t>188, 143, 143</t>
  </si>
  <si>
    <t>#4169E1</t>
  </si>
  <si>
    <t>65, 105, 225</t>
  </si>
  <si>
    <t>#8B4513</t>
  </si>
  <si>
    <t>139, 69, 19</t>
  </si>
  <si>
    <t>#FA8072</t>
  </si>
  <si>
    <t>250, 128, 114</t>
  </si>
  <si>
    <t>#F4A460</t>
  </si>
  <si>
    <t>244, 164, 96</t>
  </si>
  <si>
    <t>#2E8B57</t>
  </si>
  <si>
    <t>46, 139, 87</t>
  </si>
  <si>
    <t>#FFF5EE</t>
  </si>
  <si>
    <t>255, 245, 238</t>
  </si>
  <si>
    <t>#A0522D</t>
  </si>
  <si>
    <t>160, 82, 45</t>
  </si>
  <si>
    <t>#C0C0C0</t>
  </si>
  <si>
    <t>192, 192, 192</t>
  </si>
  <si>
    <t>#87CEEB</t>
  </si>
  <si>
    <t>135, 206, 235</t>
  </si>
  <si>
    <t>#6A5ACD</t>
  </si>
  <si>
    <t>106, 90, 205</t>
  </si>
  <si>
    <t>#708090</t>
  </si>
  <si>
    <t>112, 128, 144</t>
  </si>
  <si>
    <t>#FFFAFA</t>
  </si>
  <si>
    <t>255, 250, 250</t>
  </si>
  <si>
    <t>#00FF7F</t>
  </si>
  <si>
    <t>0, 255, 127</t>
  </si>
  <si>
    <t>#4682B4</t>
  </si>
  <si>
    <t>70, 130, 180</t>
  </si>
  <si>
    <t>#D2B48C</t>
  </si>
  <si>
    <t>210, 180, 140</t>
  </si>
  <si>
    <t>#008080</t>
  </si>
  <si>
    <t>0, 128, 128</t>
  </si>
  <si>
    <t>#D8BFD8</t>
  </si>
  <si>
    <t>216, 191, 216</t>
  </si>
  <si>
    <t>#FF6347</t>
  </si>
  <si>
    <t>255, 99, 71</t>
  </si>
  <si>
    <t>#40E0D0</t>
  </si>
  <si>
    <t>64, 224, 208</t>
  </si>
  <si>
    <t>#EE82EE</t>
  </si>
  <si>
    <t>238, 130, 238</t>
  </si>
  <si>
    <t>#F5DEB3</t>
  </si>
  <si>
    <t>245, 222, 179</t>
  </si>
  <si>
    <t>#FFFFFF</t>
  </si>
  <si>
    <t>255, 255, 255</t>
  </si>
  <si>
    <t>#F5F5F5</t>
  </si>
  <si>
    <t>245, 245, 245</t>
  </si>
  <si>
    <t>#FFFF00</t>
  </si>
  <si>
    <t>255, 255, 0</t>
  </si>
  <si>
    <t>#9ACD32</t>
  </si>
  <si>
    <t>154, 205, 50</t>
  </si>
  <si>
    <t>HEX</t>
  </si>
  <si>
    <t>RGB</t>
  </si>
  <si>
    <t>Star Trek</t>
  </si>
  <si>
    <t>Games</t>
  </si>
  <si>
    <t>Project Hail Mary</t>
  </si>
  <si>
    <t>Youtube</t>
  </si>
  <si>
    <t>(177) Spacedock - YouTube</t>
  </si>
  <si>
    <t>(177) The Templin Institute - YouTube</t>
  </si>
  <si>
    <t>Ferries</t>
  </si>
  <si>
    <t>Curre</t>
  </si>
  <si>
    <t>Ores</t>
  </si>
  <si>
    <t>Currency</t>
  </si>
  <si>
    <t>All About the Star Wars Currency: Your Questions Answered</t>
  </si>
  <si>
    <t>Storm</t>
  </si>
  <si>
    <t>ite</t>
  </si>
  <si>
    <t>ium</t>
  </si>
  <si>
    <t>ine</t>
  </si>
  <si>
    <t>Stellar</t>
  </si>
  <si>
    <t>Cosmon</t>
  </si>
  <si>
    <t>Nebul</t>
  </si>
  <si>
    <t>Solar</t>
  </si>
  <si>
    <t>Lunar</t>
  </si>
  <si>
    <t>Celest</t>
  </si>
  <si>
    <t>Gold</t>
  </si>
  <si>
    <t>Crystal</t>
  </si>
  <si>
    <t>Galactic Expansion 2</t>
  </si>
  <si>
    <t>Diameter (km)</t>
  </si>
  <si>
    <t>🪐 Jupiter</t>
  </si>
  <si>
    <t>⭐ Betelgeuse (Supergiant)</t>
  </si>
  <si>
    <t>Government, Currency, and Astrogeology</t>
  </si>
  <si>
    <t>pre release</t>
  </si>
  <si>
    <t>Commercial</t>
  </si>
  <si>
    <t xml:space="preserve"> &lt; 400 </t>
  </si>
  <si>
    <t>Space Semi Stationary</t>
  </si>
  <si>
    <t>Astrocosmos!</t>
  </si>
  <si>
    <t>Remove Capital from capacity, Rebalancing ship capacities, added ferries, fixed ship comparison graph</t>
  </si>
  <si>
    <t>Merged form of Celestite, Stellarite, and Lunarine</t>
  </si>
  <si>
    <t>Miles From Tommorrowland</t>
  </si>
  <si>
    <t>Avorion</t>
  </si>
  <si>
    <t>Underspace</t>
  </si>
  <si>
    <t>Empyrion</t>
  </si>
  <si>
    <t>X4 Foundations</t>
  </si>
  <si>
    <t>Star Trucker</t>
  </si>
  <si>
    <t>Pulsar</t>
  </si>
  <si>
    <t>Cosmoteer</t>
  </si>
  <si>
    <t>Astroneer</t>
  </si>
  <si>
    <t>Everspace</t>
  </si>
  <si>
    <t>Elite Dangerous</t>
  </si>
  <si>
    <t>Space Engineers</t>
  </si>
  <si>
    <t>Star Traders</t>
  </si>
  <si>
    <t>Transcendence</t>
  </si>
  <si>
    <t>(Movie)</t>
  </si>
  <si>
    <t>Astrometica</t>
  </si>
  <si>
    <t>∆V: Rings of Saturn</t>
  </si>
  <si>
    <t>Starcom</t>
  </si>
  <si>
    <t>SpaceBourne</t>
  </si>
  <si>
    <t>Rebel Galaxy</t>
  </si>
  <si>
    <t>Space Haven</t>
  </si>
  <si>
    <t>Space Engine</t>
  </si>
  <si>
    <t>Kerbal Space Program</t>
  </si>
  <si>
    <t>Universe Sandbox</t>
  </si>
  <si>
    <t>Exodus</t>
  </si>
  <si>
    <t>Earth From Another Sun</t>
  </si>
  <si>
    <t>StarRupture</t>
  </si>
  <si>
    <t>Xerxes Shadow</t>
  </si>
  <si>
    <t>G-Rebels</t>
  </si>
  <si>
    <t>Starminer</t>
  </si>
  <si>
    <t>SpaceCraft</t>
  </si>
  <si>
    <t>Jump Ship</t>
  </si>
  <si>
    <t>Battlefleet Gothic</t>
  </si>
  <si>
    <t>Nexus: The Jupiter Accident</t>
  </si>
  <si>
    <t>Star General</t>
  </si>
  <si>
    <t>Final Theory</t>
  </si>
  <si>
    <t>Stellar Warfare</t>
  </si>
  <si>
    <t>Children of a Dead Earth</t>
  </si>
  <si>
    <t>Shadow Empire</t>
  </si>
  <si>
    <t>(Series)</t>
  </si>
  <si>
    <t>Video</t>
  </si>
  <si>
    <t>(</t>
  </si>
  <si>
    <t>Num.</t>
  </si>
  <si>
    <t>Strategy</t>
  </si>
  <si>
    <t>Stars in Shadow</t>
  </si>
  <si>
    <t>Distant Worlds</t>
  </si>
  <si>
    <t>Nexus 5X</t>
  </si>
  <si>
    <t>Star Ruler</t>
  </si>
  <si>
    <t>Terra Invicta</t>
  </si>
  <si>
    <t>Sword of the Stars</t>
  </si>
  <si>
    <t>Galactic Ruler</t>
  </si>
  <si>
    <t>Homeworld Remastered</t>
  </si>
  <si>
    <t>Stellar Monarch</t>
  </si>
  <si>
    <t>Interstellar Space</t>
  </si>
  <si>
    <t>Master of Orion</t>
  </si>
  <si>
    <t>Emperor of the Fading Suns</t>
  </si>
  <si>
    <t>Starsector</t>
  </si>
  <si>
    <t>Star Dynasties</t>
  </si>
  <si>
    <t>Endless Space</t>
  </si>
  <si>
    <t>✅</t>
  </si>
  <si>
    <t>Reference</t>
  </si>
  <si>
    <t>[Wookiepedia](https://starwars.fandom.com/wiki/Main_Page))</t>
  </si>
  <si>
    <t>Starfield</t>
  </si>
  <si>
    <t>Sim</t>
  </si>
  <si>
    <t>Liberation</t>
  </si>
  <si>
    <t>Starbase</t>
  </si>
  <si>
    <t>Outer Wilds</t>
  </si>
  <si>
    <t>No Man's Sky</t>
  </si>
  <si>
    <t>Star Citizen</t>
  </si>
  <si>
    <t>Void Destroyer</t>
  </si>
  <si>
    <t>Evochron Legacy</t>
  </si>
  <si>
    <t>House of the Dying Sun</t>
  </si>
  <si>
    <t>Home · Table to Markdown</t>
  </si>
  <si>
    <t>Updated Logo Draft</t>
  </si>
  <si>
    <t>Truck</t>
  </si>
  <si>
    <t>Tank</t>
  </si>
  <si>
    <t>Copter</t>
  </si>
  <si>
    <t>Jet</t>
  </si>
  <si>
    <t>Half Track</t>
  </si>
  <si>
    <t>HVW Juggernaut</t>
  </si>
  <si>
    <t>Armored and Heavy</t>
  </si>
  <si>
    <t>Quick, unarmored</t>
  </si>
  <si>
    <t>Thrusters</t>
  </si>
  <si>
    <t>Propeller</t>
  </si>
  <si>
    <t xml:space="preserve">Dissamble armada and fleet, </t>
  </si>
  <si>
    <t>builds</t>
  </si>
  <si>
    <t>final semver</t>
  </si>
  <si>
    <t>change to "transportation" to "vehicles" for more general definition</t>
  </si>
  <si>
    <t>planets</t>
  </si>
  <si>
    <t>species</t>
  </si>
  <si>
    <t>sentient</t>
  </si>
  <si>
    <t>non-sentient</t>
  </si>
  <si>
    <t>definition to non space vehicles, recolor sheets</t>
  </si>
  <si>
    <t>Ukuran</t>
  </si>
  <si>
    <t>asteroid</t>
  </si>
  <si>
    <t>solid planet</t>
  </si>
  <si>
    <t>gas planet</t>
  </si>
  <si>
    <t>star</t>
  </si>
  <si>
    <t>Min</t>
  </si>
  <si>
    <t>Max</t>
  </si>
  <si>
    <t>star system</t>
  </si>
  <si>
    <t>Abc Star</t>
  </si>
  <si>
    <t>Planet Def</t>
  </si>
  <si>
    <t>Temp</t>
  </si>
  <si>
    <t>Color</t>
  </si>
  <si>
    <t>added astrobiology, added treemap size comparison, added boxplot graphic for size charts</t>
  </si>
  <si>
    <t>Def Star</t>
  </si>
  <si>
    <t>MSX</t>
  </si>
  <si>
    <t>Oblivion Loom</t>
  </si>
  <si>
    <t>Mobile Station</t>
  </si>
  <si>
    <t>OXS</t>
  </si>
  <si>
    <t>Vitreous Fang</t>
  </si>
  <si>
    <t>Frigate</t>
  </si>
  <si>
    <t>Oxide</t>
  </si>
  <si>
    <t>qualifier Adjectives</t>
  </si>
  <si>
    <t>abc</t>
  </si>
  <si>
    <t>Cruiser</t>
  </si>
  <si>
    <t>added unknown and prefix column in ship naming</t>
  </si>
  <si>
    <t>Satelites</t>
  </si>
  <si>
    <t>Citadels</t>
  </si>
  <si>
    <t>Planet Ghi</t>
  </si>
  <si>
    <t>Capital Warships</t>
  </si>
  <si>
    <t>River</t>
  </si>
  <si>
    <t>Water spring</t>
  </si>
  <si>
    <t>Valley</t>
  </si>
  <si>
    <t>can you make radar chart circle?</t>
  </si>
  <si>
    <t>can you make a text value as non capital</t>
  </si>
  <si>
    <t>Galatic Expansion 3</t>
  </si>
  <si>
    <t>Yacht</t>
  </si>
  <si>
    <t>Fixed ship naming formula</t>
  </si>
  <si>
    <t>Ghi</t>
  </si>
  <si>
    <t>Jkl</t>
  </si>
  <si>
    <t>Pqrs</t>
  </si>
  <si>
    <t>Tuv</t>
  </si>
  <si>
    <t>Yes</t>
  </si>
  <si>
    <t>🪨 Asteroid Kecil</t>
  </si>
  <si>
    <t>🌑 Bulan</t>
  </si>
  <si>
    <t>🌍 Bumi</t>
  </si>
  <si>
    <t>🌞 Matahari</t>
  </si>
  <si>
    <t>🌠 Galaksi Bima Sakti</t>
  </si>
  <si>
    <t>52 Europa</t>
  </si>
  <si>
    <t>Salah satu asteroid terbesar</t>
  </si>
  <si>
    <t>704 Interamnia</t>
  </si>
  <si>
    <t>Mirip Europa, orbit sabuk utama</t>
  </si>
  <si>
    <t>511 Davida</t>
  </si>
  <si>
    <t>Kandungan air dan logam</t>
  </si>
  <si>
    <t>87 Sylvia</t>
  </si>
  <si>
    <t>Punya dua bulan alami</t>
  </si>
  <si>
    <t>90 Antiope</t>
  </si>
  <si>
    <t>Sistem asteroid biner</t>
  </si>
  <si>
    <t>45 Eugenia</t>
  </si>
  <si>
    <t>Punya satelit alami</t>
  </si>
  <si>
    <t>107 Camilla</t>
  </si>
  <si>
    <t>Orbit sabuk utama, punya bulan</t>
  </si>
  <si>
    <t>121 Hermione</t>
  </si>
  <si>
    <t>Bentuk tidak beraturan</t>
  </si>
  <si>
    <t>Salah satu yang paling masif</t>
  </si>
  <si>
    <t>🆔 Nama Asteroid</t>
  </si>
  <si>
    <t>Ukuran (Unit Asteroid)</t>
  </si>
  <si>
    <t>Catatan Singkat</t>
  </si>
  <si>
    <t>added galaxy region visualization</t>
  </si>
  <si>
    <t>Boxplot Calc</t>
  </si>
  <si>
    <t>1st Quartile</t>
  </si>
  <si>
    <t>Median</t>
  </si>
  <si>
    <t>3rd Quartile</t>
  </si>
  <si>
    <t>Q1 on Chart</t>
  </si>
  <si>
    <t>Q2 to Q3 on Chart</t>
  </si>
  <si>
    <t>Q1 to Q2 on Chart</t>
  </si>
  <si>
    <t>Lower Whisker</t>
  </si>
  <si>
    <t>Upper Whisker</t>
  </si>
  <si>
    <t>=MIN(F$16:F$70)</t>
  </si>
  <si>
    <t>=QUARTILE.EXC(F$16:F$70;1)</t>
  </si>
  <si>
    <t>=QUARTILE.EXC(F$16:F$70;2)</t>
  </si>
  <si>
    <t>=QUARTILE.EXC(F$16:F$70;3)</t>
  </si>
  <si>
    <t>=MAX(F$16:F$70)</t>
  </si>
  <si>
    <t>=F$4</t>
  </si>
  <si>
    <t>=F$5-F$4</t>
  </si>
  <si>
    <t>=F$6-F$5</t>
  </si>
  <si>
    <t>=F$4-F$3</t>
  </si>
  <si>
    <t>=F$7-F$6</t>
  </si>
  <si>
    <t>Solid Planet</t>
  </si>
  <si>
    <t>Gas Planet</t>
  </si>
  <si>
    <t>Merkurius</t>
  </si>
  <si>
    <t>Planet terkecil di Tata Surya</t>
  </si>
  <si>
    <t>Mars</t>
  </si>
  <si>
    <t>Venus</t>
  </si>
  <si>
    <t>Bumi</t>
  </si>
  <si>
    <t>Planet kita tercinta 🌏</t>
  </si>
  <si>
    <t>Neptunus</t>
  </si>
  <si>
    <t>Uranus</t>
  </si>
  <si>
    <t>Saturnus</t>
  </si>
  <si>
    <t>Jupiter</t>
  </si>
  <si>
    <t>Planet terbesar di Tata Surya</t>
  </si>
  <si>
    <t>WASP-17b</t>
  </si>
  <si>
    <t>~200.000</t>
  </si>
  <si>
    <t>~20.000.000</t>
  </si>
  <si>
    <t>HD 100546 b</t>
  </si>
  <si>
    <t>~600.000</t>
  </si>
  <si>
    <t>~60.000.000</t>
  </si>
  <si>
    <t>🌌 Nama Planet / Exoplanet</t>
  </si>
  <si>
    <t>Kepler-37b</t>
  </si>
  <si>
    <t>Planet merah, berbatu</t>
  </si>
  <si>
    <t>Mirip Bumi, sangat panas</t>
  </si>
  <si>
    <t>KELT-9b</t>
  </si>
  <si>
    <t>~257.700</t>
  </si>
  <si>
    <t>~25.770.000</t>
  </si>
  <si>
    <t>HAT-P-67b</t>
  </si>
  <si>
    <t>~279.600</t>
  </si>
  <si>
    <t>~27.960.000</t>
  </si>
  <si>
    <t>Kappa Andromedae b</t>
  </si>
  <si>
    <t>~1.000.000</t>
  </si>
  <si>
    <t>~100.000.000</t>
  </si>
  <si>
    <t>Super-Jupiter, 13× massa Jupiter</t>
  </si>
  <si>
    <t>Planet berbatu terkecil yang diketahui</t>
  </si>
  <si>
    <t>Kepler-10b</t>
  </si>
  <si>
    <t>~14.600</t>
  </si>
  <si>
    <t>~1.460.000</t>
  </si>
  <si>
    <t>Planet berbatu, sangat dekat ke bintang</t>
  </si>
  <si>
    <t>CoRoT-7b</t>
  </si>
  <si>
    <t>~15.000</t>
  </si>
  <si>
    <t>~1.500.000</t>
  </si>
  <si>
    <t>Planet lava, berbatu</t>
  </si>
  <si>
    <t>TOI-561 b</t>
  </si>
  <si>
    <t>~16.000</t>
  </si>
  <si>
    <t>~1.600.000</t>
  </si>
  <si>
    <t>Planet tua, berbatu</t>
  </si>
  <si>
    <t>Kepler-20b</t>
  </si>
  <si>
    <t>~19.400</t>
  </si>
  <si>
    <t>~1.940.000</t>
  </si>
  <si>
    <t>Planet berbatu, orbit dekat</t>
  </si>
  <si>
    <t>Kepler-36b</t>
  </si>
  <si>
    <t>~19.600</t>
  </si>
  <si>
    <t>~1.960.000</t>
  </si>
  <si>
    <t>Planet padat, orbit dekat</t>
  </si>
  <si>
    <t>Kepler-78b</t>
  </si>
  <si>
    <t>~20.000</t>
  </si>
  <si>
    <t>~2.000.000</t>
  </si>
  <si>
    <t>K2-229b</t>
  </si>
  <si>
    <t>~21.000</t>
  </si>
  <si>
    <t>~2.100.000</t>
  </si>
  <si>
    <t>Planet berbatu, mirip Merkurius</t>
  </si>
  <si>
    <t>Kepler-93b</t>
  </si>
  <si>
    <t>~18.800</t>
  </si>
  <si>
    <t>~1.880.000</t>
  </si>
  <si>
    <t>Planet berbatu, sangat padat</t>
  </si>
  <si>
    <t>Raksasa es, angin tercepat di Tata Surya</t>
  </si>
  <si>
    <t>Planet miring, atmosfer metana</t>
  </si>
  <si>
    <t>Planet bercincin, bisa “mengapung”</t>
  </si>
  <si>
    <t>Exoplanet gas raksasa, radius 2× Jupiter</t>
  </si>
  <si>
    <t>Sangat besar tapi massa rendah</t>
  </si>
  <si>
    <t>Planet gas super panas</t>
  </si>
  <si>
    <t>ROXs 42Bb</t>
  </si>
  <si>
    <t>~280.000</t>
  </si>
  <si>
    <t>~28.000.000</t>
  </si>
  <si>
    <t>Radius 2,5× Jupiter, massa 9× Jupiter</t>
  </si>
  <si>
    <t>Exoplanet raksasa, masih dalam studi</t>
  </si>
  <si>
    <t>Super-Jupiter, sangat masif</t>
  </si>
  <si>
    <t>🌌 Nama Bintang</t>
  </si>
  <si>
    <t>Neutron Star (umum)</t>
  </si>
  <si>
    <t>~0,02</t>
  </si>
  <si>
    <t>~2</t>
  </si>
  <si>
    <t>Sangat kecil tapi super padat</t>
  </si>
  <si>
    <t>Matahari</t>
  </si>
  <si>
    <t>Bintang katai kuning, pusat Tata Surya</t>
  </si>
  <si>
    <t>Sirius A</t>
  </si>
  <si>
    <t>~2.380.000</t>
  </si>
  <si>
    <t>~238.000.000</t>
  </si>
  <si>
    <t>Bintang paling terang di langit malam</t>
  </si>
  <si>
    <t>Aldebaran</t>
  </si>
  <si>
    <t>~6.160.000</t>
  </si>
  <si>
    <t>~616.000.000</t>
  </si>
  <si>
    <t>Bintang raksasa oranye di rasi Taurus</t>
  </si>
  <si>
    <t>Rigel</t>
  </si>
  <si>
    <t>~78.000.000</t>
  </si>
  <si>
    <t>~7.800.000.000</t>
  </si>
  <si>
    <t>Bintang biru terang di rasi Orion</t>
  </si>
  <si>
    <t>Betelgeuse</t>
  </si>
  <si>
    <t>~1.400.000.000</t>
  </si>
  <si>
    <t>Bintang super raksasa merah</t>
  </si>
  <si>
    <t>VY Canis Majoris</t>
  </si>
  <si>
    <t>~2.000.000.000</t>
  </si>
  <si>
    <t>Salah satu bintang terbesar yang diketahui</t>
  </si>
  <si>
    <t>RSGC1-F01</t>
  </si>
  <si>
    <t>~2.145.000.000</t>
  </si>
  <si>
    <t>~214.500.000.000</t>
  </si>
  <si>
    <t>Bintang raksasa di konstelasi Scutum</t>
  </si>
  <si>
    <t>WOH G64</t>
  </si>
  <si>
    <t>~2.150.000.000</t>
  </si>
  <si>
    <t>~215.000.000.000</t>
  </si>
  <si>
    <t>Bintang raksasa di Awan Magellan Besar</t>
  </si>
  <si>
    <t>R136a1</t>
  </si>
  <si>
    <t>~3.000.000.000</t>
  </si>
  <si>
    <t>~300.000.000.000</t>
  </si>
  <si>
    <t>Bintang paling masif yang diketahui</t>
  </si>
  <si>
    <t>empty</t>
  </si>
  <si>
    <t>visual in general</t>
  </si>
  <si>
    <t>moon/planet</t>
  </si>
  <si>
    <t>primary body (if moon)</t>
  </si>
  <si>
    <t>ordinal naming system</t>
  </si>
  <si>
    <t>object full name</t>
  </si>
  <si>
    <t>NyaNya Star System</t>
  </si>
  <si>
    <t>Test Star System</t>
  </si>
  <si>
    <t>Abc</t>
  </si>
  <si>
    <t>Abc I</t>
  </si>
  <si>
    <t>Moon</t>
  </si>
  <si>
    <t>Planet</t>
  </si>
  <si>
    <t>Feline</t>
  </si>
  <si>
    <t>Move galactical things to front of the work space</t>
  </si>
  <si>
    <t>Max Asteroid Size</t>
  </si>
  <si>
    <t>planetary system</t>
  </si>
  <si>
    <t>Smallest Asteroid size</t>
  </si>
  <si>
    <t>Smallest Terrestrial Planet Size</t>
  </si>
  <si>
    <t>Max Terrestrial Planet Size</t>
  </si>
  <si>
    <t>Smallest Gas Planet Size</t>
  </si>
  <si>
    <t>Max Gas Planet Size</t>
  </si>
  <si>
    <t>Smallest Star Size</t>
  </si>
  <si>
    <t>Max Star Size</t>
  </si>
  <si>
    <t>Universe</t>
  </si>
  <si>
    <t>Solar Story – welcome to our solar system, learn the story of our planets, asteroids, and comets</t>
  </si>
  <si>
    <t>Rationed Position</t>
  </si>
  <si>
    <t>if</t>
  </si>
  <si>
    <t>tag "star" is used</t>
  </si>
  <si>
    <t>then</t>
  </si>
  <si>
    <t>hide other tags</t>
  </si>
  <si>
    <t>lock the position</t>
  </si>
  <si>
    <t>change size to small</t>
  </si>
  <si>
    <t>if tag "planet" is used</t>
  </si>
  <si>
    <t>hide "moon" tags</t>
  </si>
  <si>
    <t>respect position on 0xyz</t>
  </si>
  <si>
    <t>show only one tag of "star"</t>
  </si>
  <si>
    <t>change "star" tag's position to 0xyz</t>
  </si>
  <si>
    <t>change "star" tag's size to real</t>
  </si>
  <si>
    <t>Orbit</t>
  </si>
  <si>
    <t>if tag "moon" is used</t>
  </si>
  <si>
    <t>hide "star" tag</t>
  </si>
  <si>
    <t>change "planet" tag's position to 0xyz</t>
  </si>
  <si>
    <t>variabel</t>
  </si>
  <si>
    <t>note</t>
  </si>
  <si>
    <t>stated</t>
  </si>
  <si>
    <t>position</t>
  </si>
  <si>
    <t>galaxy-based</t>
  </si>
  <si>
    <t>planet</t>
  </si>
  <si>
    <t>star based</t>
  </si>
  <si>
    <t>moon</t>
  </si>
  <si>
    <t>planet based</t>
  </si>
  <si>
    <t>Solar System Scope - Online Model of Solar System and Night Sky</t>
  </si>
  <si>
    <t>what</t>
  </si>
  <si>
    <t>separated visualization</t>
  </si>
  <si>
    <t>all in one</t>
  </si>
  <si>
    <t xml:space="preserve">  </t>
  </si>
  <si>
    <t>What Is The Study Of Magic Called</t>
  </si>
  <si>
    <t>Galactic Expansion 4</t>
  </si>
  <si>
    <t>Fixes</t>
  </si>
  <si>
    <t>Minor Addition and Major Change</t>
  </si>
  <si>
    <t>Major Addition and Removal</t>
  </si>
  <si>
    <t>Fixes, Deprecation, and Security</t>
  </si>
  <si>
    <t>Removal</t>
  </si>
  <si>
    <t>Deprecation</t>
  </si>
  <si>
    <t>Orbit Center</t>
  </si>
  <si>
    <t>Eccentricity</t>
  </si>
  <si>
    <t>Semi Major Axis</t>
  </si>
  <si>
    <t>Inclination</t>
  </si>
  <si>
    <t>mass</t>
  </si>
  <si>
    <t>rotation</t>
  </si>
  <si>
    <t>axial tilt</t>
  </si>
  <si>
    <t>Semesta</t>
  </si>
  <si>
    <t>All-Powerful</t>
  </si>
  <si>
    <t>Angkasa</t>
  </si>
  <si>
    <t>te aura/energy/force</t>
  </si>
  <si>
    <t>social</t>
  </si>
  <si>
    <t>contribution</t>
  </si>
  <si>
    <t>text</t>
  </si>
  <si>
    <t>for registering "Aetheria" starcruiser</t>
  </si>
  <si>
    <t>for registering "Catfish" interceptor</t>
  </si>
  <si>
    <t>Celestia</t>
  </si>
  <si>
    <t>for correcting the capacity of **Corvettes** in the ship classification</t>
  </si>
  <si>
    <t>OxideXen</t>
  </si>
  <si>
    <t>for registering "Oblivion Loom" mobile station and "Vitreous Fang" light frigate</t>
  </si>
  <si>
    <t>Felix</t>
  </si>
  <si>
    <t>for registering "Astra" yacth</t>
  </si>
  <si>
    <t>for brainstorming the idea of **Wardens** in the ship classification, and registering "Capybara" vessel</t>
  </si>
  <si>
    <t>Fixed galaxy region due to Galaxy Habitable Zone</t>
  </si>
  <si>
    <t>Added Thanks Sheet</t>
  </si>
  <si>
    <t>habzone start</t>
  </si>
  <si>
    <t>habzone end</t>
  </si>
  <si>
    <t>The Beginning</t>
  </si>
  <si>
    <t>Distopia</t>
  </si>
  <si>
    <t>Utopia,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</si>
</sst>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\-"/>
    <numFmt numFmtId="166" formatCode="General&quot;,&quot;"/>
  </numFmts>
  <fonts count="14"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9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sz val="8"/>
      <color theme="1"/>
      <name val="Calibri"/>
      <family val="2"/>
      <charset val="1"/>
      <scheme val="minor"/>
    </font>
    <font>
      <u/>
      <sz val="12"/>
      <color theme="10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theme="1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8" fillId="0" borderId="0"/>
    <xf numFmtId="0" fontId="12" fillId="2" borderId="0" applyNumberFormat="0" applyBorder="0" applyAlignment="0" applyProtection="0"/>
    <xf numFmtId="0" fontId="3" fillId="3" borderId="60" applyNumberFormat="0" applyFont="0" applyAlignment="0" applyProtection="0"/>
  </cellStyleXfs>
  <cellXfs count="189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21" xfId="0" applyFont="1" applyBorder="1" applyAlignment="1">
      <alignment vertical="center" wrapText="1"/>
    </xf>
    <xf numFmtId="0" fontId="2" fillId="0" borderId="23" xfId="0" applyFont="1" applyBorder="1" applyAlignment="1">
      <alignment vertical="center" wrapText="1"/>
    </xf>
    <xf numFmtId="0" fontId="2" fillId="0" borderId="24" xfId="0" applyFont="1" applyBorder="1" applyAlignment="1">
      <alignment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164" fontId="0" fillId="0" borderId="0" xfId="2" applyNumberFormat="1" applyFont="1"/>
    <xf numFmtId="0" fontId="2" fillId="0" borderId="0" xfId="0" applyFont="1" applyBorder="1" applyAlignment="1">
      <alignment vertical="center" wrapText="1"/>
    </xf>
    <xf numFmtId="0" fontId="2" fillId="0" borderId="13" xfId="0" applyFont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1" fontId="2" fillId="0" borderId="21" xfId="0" applyNumberFormat="1" applyFont="1" applyBorder="1" applyAlignment="1">
      <alignment horizontal="left" vertical="center" wrapText="1"/>
    </xf>
    <xf numFmtId="1" fontId="2" fillId="0" borderId="23" xfId="0" applyNumberFormat="1" applyFont="1" applyBorder="1" applyAlignment="1">
      <alignment horizontal="left" vertical="center" wrapText="1"/>
    </xf>
    <xf numFmtId="1" fontId="2" fillId="0" borderId="24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22" xfId="0" applyFont="1" applyBorder="1" applyAlignment="1">
      <alignment horizontal="center" vertical="center" wrapText="1"/>
    </xf>
    <xf numFmtId="9" fontId="2" fillId="0" borderId="0" xfId="0" applyNumberFormat="1" applyFont="1" applyAlignment="1">
      <alignment horizontal="left" vertical="center" wrapText="1"/>
    </xf>
    <xf numFmtId="9" fontId="2" fillId="0" borderId="0" xfId="0" quotePrefix="1" applyNumberFormat="1" applyFont="1" applyAlignment="1">
      <alignment horizontal="left" vertical="center" wrapText="1"/>
    </xf>
    <xf numFmtId="0" fontId="2" fillId="0" borderId="40" xfId="0" applyFont="1" applyBorder="1" applyAlignment="1">
      <alignment wrapText="1"/>
    </xf>
    <xf numFmtId="0" fontId="2" fillId="0" borderId="41" xfId="0" applyFont="1" applyBorder="1" applyAlignment="1">
      <alignment wrapText="1"/>
    </xf>
    <xf numFmtId="0" fontId="2" fillId="0" borderId="42" xfId="0" applyFont="1" applyBorder="1" applyAlignment="1">
      <alignment wrapText="1"/>
    </xf>
    <xf numFmtId="0" fontId="2" fillId="0" borderId="43" xfId="0" applyFont="1" applyBorder="1" applyAlignment="1">
      <alignment wrapText="1"/>
    </xf>
    <xf numFmtId="0" fontId="2" fillId="0" borderId="44" xfId="0" applyFont="1" applyBorder="1" applyAlignment="1">
      <alignment wrapText="1"/>
    </xf>
    <xf numFmtId="0" fontId="2" fillId="0" borderId="45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6" xfId="0" applyFont="1" applyBorder="1" applyAlignment="1">
      <alignment wrapText="1"/>
    </xf>
    <xf numFmtId="0" fontId="2" fillId="0" borderId="48" xfId="0" applyFont="1" applyBorder="1" applyAlignment="1">
      <alignment wrapText="1"/>
    </xf>
    <xf numFmtId="0" fontId="2" fillId="0" borderId="49" xfId="0" applyFont="1" applyBorder="1" applyAlignment="1">
      <alignment wrapText="1"/>
    </xf>
    <xf numFmtId="0" fontId="2" fillId="0" borderId="50" xfId="0" applyFont="1" applyBorder="1" applyAlignment="1">
      <alignment wrapText="1"/>
    </xf>
    <xf numFmtId="0" fontId="2" fillId="0" borderId="51" xfId="0" applyFont="1" applyBorder="1" applyAlignment="1">
      <alignment wrapText="1"/>
    </xf>
    <xf numFmtId="0" fontId="2" fillId="0" borderId="52" xfId="0" applyFont="1" applyBorder="1" applyAlignment="1">
      <alignment wrapText="1"/>
    </xf>
    <xf numFmtId="0" fontId="2" fillId="0" borderId="10" xfId="0" applyFont="1" applyBorder="1"/>
    <xf numFmtId="0" fontId="4" fillId="0" borderId="47" xfId="0" applyFont="1" applyBorder="1" applyAlignment="1">
      <alignment wrapText="1"/>
    </xf>
    <xf numFmtId="0" fontId="4" fillId="0" borderId="41" xfId="0" applyFont="1" applyBorder="1" applyAlignment="1">
      <alignment wrapText="1" shrinkToFit="1"/>
    </xf>
    <xf numFmtId="0" fontId="6" fillId="0" borderId="48" xfId="0" applyFont="1" applyBorder="1" applyAlignment="1">
      <alignment wrapText="1" shrinkToFi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left" wrapText="1"/>
    </xf>
    <xf numFmtId="0" fontId="6" fillId="0" borderId="39" xfId="0" applyFont="1" applyBorder="1" applyAlignment="1">
      <alignment wrapText="1"/>
    </xf>
    <xf numFmtId="0" fontId="6" fillId="0" borderId="53" xfId="0" applyFont="1" applyBorder="1" applyAlignment="1">
      <alignment wrapText="1"/>
    </xf>
    <xf numFmtId="0" fontId="2" fillId="0" borderId="54" xfId="0" applyFont="1" applyBorder="1" applyAlignment="1">
      <alignment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9" fontId="2" fillId="0" borderId="0" xfId="0" applyNumberFormat="1" applyFont="1" applyAlignment="1">
      <alignment horizontal="left" vertical="center"/>
    </xf>
    <xf numFmtId="9" fontId="2" fillId="0" borderId="0" xfId="0" quotePrefix="1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" fontId="2" fillId="0" borderId="15" xfId="0" applyNumberFormat="1" applyFont="1" applyBorder="1" applyAlignment="1">
      <alignment horizontal="right" vertical="center" wrapText="1"/>
    </xf>
    <xf numFmtId="1" fontId="2" fillId="0" borderId="37" xfId="0" applyNumberFormat="1" applyFont="1" applyBorder="1" applyAlignment="1">
      <alignment horizontal="left" vertical="center" wrapText="1"/>
    </xf>
    <xf numFmtId="1" fontId="2" fillId="0" borderId="10" xfId="0" applyNumberFormat="1" applyFont="1" applyBorder="1" applyAlignment="1">
      <alignment horizontal="right" vertical="center" wrapText="1"/>
    </xf>
    <xf numFmtId="1" fontId="2" fillId="0" borderId="29" xfId="0" applyNumberFormat="1" applyFont="1" applyBorder="1" applyAlignment="1">
      <alignment horizontal="left" vertical="center" wrapText="1"/>
    </xf>
    <xf numFmtId="1" fontId="2" fillId="0" borderId="12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56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0" fillId="0" borderId="0" xfId="0" applyNumberFormat="1"/>
    <xf numFmtId="0" fontId="7" fillId="0" borderId="6" xfId="1" applyFont="1" applyBorder="1" applyAlignment="1">
      <alignment vertical="center" wrapText="1"/>
    </xf>
    <xf numFmtId="0" fontId="8" fillId="0" borderId="0" xfId="3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  <xf numFmtId="3" fontId="2" fillId="0" borderId="5" xfId="0" applyNumberFormat="1" applyFont="1" applyBorder="1"/>
    <xf numFmtId="3" fontId="2" fillId="0" borderId="17" xfId="0" applyNumberFormat="1" applyFont="1" applyBorder="1" applyAlignment="1">
      <alignment horizontal="center" vertical="center" wrapText="1"/>
    </xf>
    <xf numFmtId="3" fontId="2" fillId="0" borderId="18" xfId="0" applyNumberFormat="1" applyFont="1" applyBorder="1" applyAlignment="1">
      <alignment horizontal="center" vertical="center" wrapText="1"/>
    </xf>
    <xf numFmtId="3" fontId="2" fillId="0" borderId="20" xfId="0" applyNumberFormat="1" applyFont="1" applyBorder="1" applyAlignment="1">
      <alignment horizontal="center" vertical="center" wrapText="1"/>
    </xf>
    <xf numFmtId="3" fontId="2" fillId="0" borderId="57" xfId="0" applyNumberFormat="1" applyFont="1" applyBorder="1"/>
    <xf numFmtId="3" fontId="2" fillId="0" borderId="58" xfId="0" applyNumberFormat="1" applyFont="1" applyBorder="1"/>
    <xf numFmtId="3" fontId="2" fillId="0" borderId="59" xfId="0" applyNumberFormat="1" applyFont="1" applyBorder="1"/>
    <xf numFmtId="3" fontId="2" fillId="0" borderId="1" xfId="0" applyNumberFormat="1" applyFont="1" applyBorder="1"/>
    <xf numFmtId="3" fontId="2" fillId="0" borderId="6" xfId="0" applyNumberFormat="1" applyFont="1" applyBorder="1"/>
    <xf numFmtId="3" fontId="2" fillId="0" borderId="7" xfId="0" applyNumberFormat="1" applyFont="1" applyBorder="1"/>
    <xf numFmtId="3" fontId="2" fillId="0" borderId="8" xfId="0" applyNumberFormat="1" applyFont="1" applyBorder="1"/>
    <xf numFmtId="3" fontId="2" fillId="0" borderId="9" xfId="0" applyNumberFormat="1" applyFont="1" applyBorder="1"/>
    <xf numFmtId="3" fontId="2" fillId="0" borderId="0" xfId="0" applyNumberFormat="1" applyFont="1" applyAlignment="1">
      <alignment vertical="center" wrapText="1"/>
    </xf>
    <xf numFmtId="3" fontId="2" fillId="0" borderId="0" xfId="0" quotePrefix="1" applyNumberFormat="1" applyFont="1" applyAlignment="1">
      <alignment horizontal="left" vertical="center" wrapText="1"/>
    </xf>
    <xf numFmtId="0" fontId="1" fillId="0" borderId="0" xfId="1"/>
    <xf numFmtId="0" fontId="9" fillId="0" borderId="0" xfId="0" applyFont="1" applyAlignment="1">
      <alignment horizontal="left" vertical="top"/>
    </xf>
    <xf numFmtId="49" fontId="8" fillId="0" borderId="0" xfId="3" applyNumberFormat="1"/>
    <xf numFmtId="0" fontId="2" fillId="0" borderId="10" xfId="0" applyNumberFormat="1" applyFont="1" applyBorder="1"/>
    <xf numFmtId="0" fontId="2" fillId="0" borderId="29" xfId="0" applyNumberFormat="1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1" fontId="2" fillId="0" borderId="11" xfId="0" applyNumberFormat="1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 vertical="center"/>
    </xf>
    <xf numFmtId="49" fontId="0" fillId="0" borderId="0" xfId="0" applyNumberFormat="1"/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1" fillId="0" borderId="0" xfId="0" applyFont="1" applyAlignment="1">
      <alignment vertical="center" wrapText="1"/>
    </xf>
    <xf numFmtId="3" fontId="0" fillId="0" borderId="0" xfId="0" applyNumberFormat="1"/>
    <xf numFmtId="0" fontId="1" fillId="0" borderId="0" xfId="1" quotePrefix="1"/>
    <xf numFmtId="0" fontId="12" fillId="2" borderId="0" xfId="4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NumberFormat="1" applyAlignment="1">
      <alignment horizontal="center" vertical="top"/>
    </xf>
    <xf numFmtId="0" fontId="0" fillId="3" borderId="60" xfId="5" applyFont="1" applyAlignment="1">
      <alignment horizontal="center" vertical="top" wrapText="1"/>
    </xf>
    <xf numFmtId="0" fontId="0" fillId="3" borderId="60" xfId="5" applyFont="1" applyAlignment="1">
      <alignment horizontal="center" vertical="top"/>
    </xf>
    <xf numFmtId="165" fontId="8" fillId="0" borderId="0" xfId="3" applyNumberFormat="1"/>
    <xf numFmtId="13" fontId="13" fillId="0" borderId="0" xfId="3" applyNumberFormat="1" applyFont="1"/>
    <xf numFmtId="0" fontId="8" fillId="0" borderId="0" xfId="3" applyFill="1"/>
    <xf numFmtId="49" fontId="8" fillId="0" borderId="0" xfId="3" applyNumberFormat="1" applyFont="1"/>
    <xf numFmtId="0" fontId="0" fillId="3" borderId="60" xfId="5" applyFont="1" applyAlignment="1">
      <alignment wrapText="1"/>
    </xf>
    <xf numFmtId="0" fontId="0" fillId="0" borderId="0" xfId="0" applyAlignment="1">
      <alignment horizontal="center"/>
    </xf>
    <xf numFmtId="0" fontId="6" fillId="0" borderId="56" xfId="0" applyFont="1" applyBorder="1" applyAlignment="1">
      <alignment wrapText="1"/>
    </xf>
    <xf numFmtId="0" fontId="6" fillId="0" borderId="62" xfId="0" applyFont="1" applyBorder="1" applyAlignment="1">
      <alignment wrapText="1"/>
    </xf>
    <xf numFmtId="0" fontId="2" fillId="0" borderId="32" xfId="0" applyFont="1" applyBorder="1" applyAlignment="1">
      <alignment vertical="center" wrapText="1"/>
    </xf>
    <xf numFmtId="0" fontId="2" fillId="0" borderId="35" xfId="0" applyFont="1" applyBorder="1" applyAlignment="1">
      <alignment vertical="center" wrapText="1"/>
    </xf>
    <xf numFmtId="0" fontId="2" fillId="0" borderId="61" xfId="0" applyFont="1" applyBorder="1" applyAlignment="1">
      <alignment vertical="center" wrapText="1"/>
    </xf>
    <xf numFmtId="1" fontId="2" fillId="0" borderId="35" xfId="0" applyNumberFormat="1" applyFont="1" applyBorder="1" applyAlignment="1">
      <alignment horizontal="right" vertical="center" wrapText="1"/>
    </xf>
    <xf numFmtId="1" fontId="2" fillId="0" borderId="34" xfId="0" applyNumberFormat="1" applyFont="1" applyBorder="1" applyAlignment="1">
      <alignment horizontal="left" vertical="center" wrapText="1"/>
    </xf>
    <xf numFmtId="1" fontId="2" fillId="0" borderId="61" xfId="0" applyNumberFormat="1" applyFont="1" applyBorder="1" applyAlignment="1">
      <alignment horizontal="left" vertical="center" wrapText="1"/>
    </xf>
    <xf numFmtId="0" fontId="2" fillId="0" borderId="33" xfId="0" applyFont="1" applyBorder="1" applyAlignment="1">
      <alignment vertical="center" wrapText="1"/>
    </xf>
    <xf numFmtId="0" fontId="0" fillId="0" borderId="0" xfId="0" applyFont="1"/>
    <xf numFmtId="0" fontId="2" fillId="0" borderId="48" xfId="0" applyFont="1" applyBorder="1" applyAlignment="1">
      <alignment wrapText="1" shrinkToFit="1"/>
    </xf>
    <xf numFmtId="0" fontId="2" fillId="0" borderId="36" xfId="0" applyFont="1" applyBorder="1" applyAlignment="1">
      <alignment wrapText="1"/>
    </xf>
    <xf numFmtId="0" fontId="2" fillId="0" borderId="14" xfId="0" applyNumberFormat="1" applyFont="1" applyBorder="1" applyAlignment="1">
      <alignment horizontal="left" vertical="center" wrapText="1"/>
    </xf>
    <xf numFmtId="0" fontId="2" fillId="0" borderId="14" xfId="0" applyFont="1" applyBorder="1" applyAlignment="1">
      <alignment wrapText="1"/>
    </xf>
    <xf numFmtId="0" fontId="2" fillId="0" borderId="14" xfId="0" applyNumberFormat="1" applyFont="1" applyBorder="1" applyAlignment="1">
      <alignment horizontal="center" vertical="center" wrapText="1" shrinkToFit="1"/>
    </xf>
    <xf numFmtId="0" fontId="2" fillId="0" borderId="16" xfId="0" applyFont="1" applyBorder="1" applyAlignment="1">
      <alignment wrapText="1"/>
    </xf>
    <xf numFmtId="0" fontId="2" fillId="0" borderId="37" xfId="0" applyFont="1" applyBorder="1" applyAlignment="1">
      <alignment wrapText="1"/>
    </xf>
    <xf numFmtId="0" fontId="2" fillId="0" borderId="15" xfId="0" applyFont="1" applyBorder="1" applyAlignment="1">
      <alignment wrapText="1"/>
    </xf>
    <xf numFmtId="0" fontId="2" fillId="0" borderId="38" xfId="0" applyFont="1" applyBorder="1" applyAlignment="1">
      <alignment wrapText="1"/>
    </xf>
    <xf numFmtId="0" fontId="2" fillId="0" borderId="28" xfId="0" applyFont="1" applyBorder="1" applyAlignment="1">
      <alignment wrapText="1"/>
    </xf>
    <xf numFmtId="0" fontId="2" fillId="0" borderId="5" xfId="0" applyFont="1" applyBorder="1" applyAlignment="1">
      <alignment horizontal="right" vertical="center" wrapText="1"/>
    </xf>
    <xf numFmtId="0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2" fillId="0" borderId="1" xfId="0" applyNumberFormat="1" applyFont="1" applyBorder="1" applyAlignment="1">
      <alignment horizontal="center" vertical="center" wrapText="1" shrinkToFit="1"/>
    </xf>
    <xf numFmtId="0" fontId="2" fillId="0" borderId="6" xfId="0" applyFont="1" applyBorder="1" applyAlignment="1">
      <alignment wrapText="1"/>
    </xf>
    <xf numFmtId="0" fontId="2" fillId="0" borderId="2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30" xfId="0" applyFont="1" applyBorder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 shrinkToFit="1"/>
    </xf>
    <xf numFmtId="0" fontId="2" fillId="0" borderId="27" xfId="0" applyFont="1" applyBorder="1" applyAlignment="1">
      <alignment wrapText="1"/>
    </xf>
    <xf numFmtId="0" fontId="2" fillId="0" borderId="7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wrapText="1"/>
    </xf>
    <xf numFmtId="0" fontId="2" fillId="0" borderId="8" xfId="0" applyFont="1" applyBorder="1" applyAlignment="1">
      <alignment horizontal="center" vertical="center" wrapText="1" shrinkToFit="1"/>
    </xf>
    <xf numFmtId="0" fontId="2" fillId="0" borderId="9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31" xfId="0" applyFont="1" applyBorder="1" applyAlignment="1">
      <alignment wrapText="1"/>
    </xf>
    <xf numFmtId="0" fontId="2" fillId="0" borderId="0" xfId="0" applyFont="1" applyAlignment="1">
      <alignment wrapText="1" shrinkToFit="1"/>
    </xf>
    <xf numFmtId="0" fontId="4" fillId="0" borderId="1" xfId="0" applyFont="1" applyBorder="1" applyAlignment="1">
      <alignment horizontal="center" vertical="center" wrapText="1" shrinkToFit="1"/>
    </xf>
    <xf numFmtId="1" fontId="0" fillId="0" borderId="0" xfId="0" applyNumberFormat="1"/>
    <xf numFmtId="3" fontId="0" fillId="0" borderId="0" xfId="0" applyNumberFormat="1" applyAlignment="1">
      <alignment vertical="center" wrapText="1"/>
    </xf>
    <xf numFmtId="49" fontId="0" fillId="0" borderId="0" xfId="0" quotePrefix="1" applyNumberFormat="1"/>
    <xf numFmtId="0" fontId="2" fillId="0" borderId="63" xfId="0" applyFont="1" applyBorder="1" applyAlignment="1">
      <alignment vertical="center" wrapText="1"/>
    </xf>
    <xf numFmtId="0" fontId="2" fillId="0" borderId="64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3" borderId="60" xfId="5" applyNumberFormat="1" applyFont="1"/>
    <xf numFmtId="0" fontId="0" fillId="3" borderId="60" xfId="5" applyFont="1"/>
    <xf numFmtId="1" fontId="2" fillId="0" borderId="0" xfId="0" applyNumberFormat="1" applyFont="1" applyAlignment="1">
      <alignment vertical="center"/>
    </xf>
    <xf numFmtId="166" fontId="0" fillId="0" borderId="0" xfId="0" applyNumberFormat="1"/>
    <xf numFmtId="0" fontId="2" fillId="4" borderId="10" xfId="0" applyFont="1" applyFill="1" applyBorder="1" applyAlignment="1">
      <alignment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 vertical="center" wrapText="1"/>
    </xf>
    <xf numFmtId="3" fontId="2" fillId="0" borderId="4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6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65" xfId="0" applyFont="1" applyBorder="1" applyAlignment="1">
      <alignment horizontal="center" vertical="center" wrapText="1"/>
    </xf>
    <xf numFmtId="0" fontId="2" fillId="0" borderId="6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68" xfId="0" applyFont="1" applyBorder="1" applyAlignment="1">
      <alignment horizontal="center" vertical="center" wrapText="1"/>
    </xf>
    <xf numFmtId="0" fontId="2" fillId="0" borderId="67" xfId="0" applyFont="1" applyBorder="1" applyAlignment="1">
      <alignment horizontal="center" vertical="center" wrapText="1"/>
    </xf>
  </cellXfs>
  <cellStyles count="6">
    <cellStyle name="Comma" xfId="2" builtinId="3"/>
    <cellStyle name="Good" xfId="4" builtinId="26"/>
    <cellStyle name="Hyperlink" xfId="1" builtinId="8"/>
    <cellStyle name="Normal" xfId="0" builtinId="0"/>
    <cellStyle name="Normal 2" xfId="3" xr:uid="{1F4ABB9C-14A9-40C4-AF69-907F9F046FFA}"/>
    <cellStyle name="Note" xfId="5" builtinId="10"/>
  </cellStyles>
  <dxfs count="2">
    <dxf>
      <font>
        <color auto="1"/>
      </font>
      <fill>
        <patternFill patternType="solid">
          <fgColor theme="9"/>
          <bgColor rgb="FF56CC64"/>
        </patternFill>
      </fill>
    </dxf>
    <dxf>
      <font>
        <color auto="1"/>
      </font>
      <fill>
        <patternFill patternType="solid">
          <fgColor theme="9"/>
          <bgColor rgb="FF56CC64"/>
        </patternFill>
      </fill>
    </dxf>
  </dxfs>
  <tableStyles count="0" defaultTableStyle="TableStyleMedium2" defaultPivotStyle="PivotStyleLight16"/>
  <colors>
    <mruColors>
      <color rgb="FFFF9999"/>
      <color rgb="FFCC0000"/>
      <color rgb="FFCCECFF"/>
      <color rgb="FF66CCFF"/>
      <color rgb="FFFFCC66"/>
      <color rgb="FFFF9900"/>
      <color rgb="FF63BE7B"/>
      <color rgb="FF56CC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worksheet" Target="worksheets/sheet22.xml"/><Relationship Id="rId39" Type="http://schemas.openxmlformats.org/officeDocument/2006/relationships/customXml" Target="../customXml/item1.xml"/><Relationship Id="rId21" Type="http://schemas.openxmlformats.org/officeDocument/2006/relationships/chartsheet" Target="chartsheets/sheet4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worksheet" Target="worksheets/sheet21.xml"/><Relationship Id="rId33" Type="http://schemas.openxmlformats.org/officeDocument/2006/relationships/worksheet" Target="worksheets/sheet29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chartsheet" Target="chartsheets/sheet3.xml"/><Relationship Id="rId29" Type="http://schemas.openxmlformats.org/officeDocument/2006/relationships/worksheet" Target="worksheets/sheet2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0.xml"/><Relationship Id="rId32" Type="http://schemas.openxmlformats.org/officeDocument/2006/relationships/worksheet" Target="worksheets/sheet28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19.xml"/><Relationship Id="rId28" Type="http://schemas.openxmlformats.org/officeDocument/2006/relationships/worksheet" Target="worksheets/sheet24.xml"/><Relationship Id="rId36" Type="http://schemas.openxmlformats.org/officeDocument/2006/relationships/styles" Target="styles.xml"/><Relationship Id="rId10" Type="http://schemas.openxmlformats.org/officeDocument/2006/relationships/chartsheet" Target="chartsheets/sheet1.xml"/><Relationship Id="rId19" Type="http://schemas.openxmlformats.org/officeDocument/2006/relationships/chartsheet" Target="chartsheets/sheet2.xml"/><Relationship Id="rId31" Type="http://schemas.openxmlformats.org/officeDocument/2006/relationships/worksheet" Target="worksheets/sheet2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18.xml"/><Relationship Id="rId27" Type="http://schemas.openxmlformats.org/officeDocument/2006/relationships/worksheet" Target="worksheets/sheet23.xml"/><Relationship Id="rId30" Type="http://schemas.openxmlformats.org/officeDocument/2006/relationships/worksheet" Target="worksheets/sheet26.xml"/><Relationship Id="rId35" Type="http://schemas.openxmlformats.org/officeDocument/2006/relationships/connections" Target="connection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Galaxy!$C$10</c:f>
              <c:strCache>
                <c:ptCount val="1"/>
                <c:pt idx="0">
                  <c:v>Outer Rim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val>
            <c:numRef>
              <c:f>Galaxy!$Q$10:$AN$10</c:f>
              <c:numCache>
                <c:formatCode>General</c:formatCode>
                <c:ptCount val="24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  <c:pt idx="15">
                  <c:v>1000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0B-4303-93DF-60F2A6B27DB2}"/>
            </c:ext>
          </c:extLst>
        </c:ser>
        <c:ser>
          <c:idx val="1"/>
          <c:order val="1"/>
          <c:tx>
            <c:strRef>
              <c:f>Galaxy!$C$11</c:f>
              <c:strCache>
                <c:ptCount val="1"/>
                <c:pt idx="0">
                  <c:v>Mid Rim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val>
            <c:numRef>
              <c:f>Galaxy!$Q$11:$AN$11</c:f>
              <c:numCache>
                <c:formatCode>General</c:formatCode>
                <c:ptCount val="24"/>
                <c:pt idx="0">
                  <c:v>850</c:v>
                </c:pt>
                <c:pt idx="1">
                  <c:v>850</c:v>
                </c:pt>
                <c:pt idx="2">
                  <c:v>850</c:v>
                </c:pt>
                <c:pt idx="3">
                  <c:v>850</c:v>
                </c:pt>
                <c:pt idx="4">
                  <c:v>850</c:v>
                </c:pt>
                <c:pt idx="5">
                  <c:v>850</c:v>
                </c:pt>
                <c:pt idx="6">
                  <c:v>850</c:v>
                </c:pt>
                <c:pt idx="7">
                  <c:v>850</c:v>
                </c:pt>
                <c:pt idx="8">
                  <c:v>850</c:v>
                </c:pt>
                <c:pt idx="9">
                  <c:v>850</c:v>
                </c:pt>
                <c:pt idx="10">
                  <c:v>850</c:v>
                </c:pt>
                <c:pt idx="11">
                  <c:v>850</c:v>
                </c:pt>
                <c:pt idx="12">
                  <c:v>850</c:v>
                </c:pt>
                <c:pt idx="13">
                  <c:v>850</c:v>
                </c:pt>
                <c:pt idx="14">
                  <c:v>850</c:v>
                </c:pt>
                <c:pt idx="15">
                  <c:v>850</c:v>
                </c:pt>
                <c:pt idx="16">
                  <c:v>850</c:v>
                </c:pt>
                <c:pt idx="17">
                  <c:v>850</c:v>
                </c:pt>
                <c:pt idx="18">
                  <c:v>850</c:v>
                </c:pt>
                <c:pt idx="19">
                  <c:v>850</c:v>
                </c:pt>
                <c:pt idx="20">
                  <c:v>850</c:v>
                </c:pt>
                <c:pt idx="21">
                  <c:v>850</c:v>
                </c:pt>
                <c:pt idx="22">
                  <c:v>850</c:v>
                </c:pt>
                <c:pt idx="23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0B-4303-93DF-60F2A6B27DB2}"/>
            </c:ext>
          </c:extLst>
        </c:ser>
        <c:ser>
          <c:idx val="2"/>
          <c:order val="2"/>
          <c:tx>
            <c:strRef>
              <c:f>Galaxy!$C$12</c:f>
              <c:strCache>
                <c:ptCount val="1"/>
                <c:pt idx="0">
                  <c:v>Inner Rim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val>
            <c:numRef>
              <c:f>Galaxy!$Q$12:$AN$12</c:f>
              <c:numCache>
                <c:formatCode>General</c:formatCode>
                <c:ptCount val="24"/>
                <c:pt idx="0">
                  <c:v>700</c:v>
                </c:pt>
                <c:pt idx="1">
                  <c:v>700</c:v>
                </c:pt>
                <c:pt idx="2">
                  <c:v>700</c:v>
                </c:pt>
                <c:pt idx="3">
                  <c:v>700</c:v>
                </c:pt>
                <c:pt idx="4">
                  <c:v>700</c:v>
                </c:pt>
                <c:pt idx="5">
                  <c:v>700</c:v>
                </c:pt>
                <c:pt idx="6">
                  <c:v>700</c:v>
                </c:pt>
                <c:pt idx="7">
                  <c:v>700</c:v>
                </c:pt>
                <c:pt idx="8">
                  <c:v>700</c:v>
                </c:pt>
                <c:pt idx="9">
                  <c:v>700</c:v>
                </c:pt>
                <c:pt idx="10">
                  <c:v>700</c:v>
                </c:pt>
                <c:pt idx="11">
                  <c:v>700</c:v>
                </c:pt>
                <c:pt idx="12">
                  <c:v>700</c:v>
                </c:pt>
                <c:pt idx="13">
                  <c:v>700</c:v>
                </c:pt>
                <c:pt idx="14">
                  <c:v>700</c:v>
                </c:pt>
                <c:pt idx="15">
                  <c:v>700</c:v>
                </c:pt>
                <c:pt idx="16">
                  <c:v>700</c:v>
                </c:pt>
                <c:pt idx="17">
                  <c:v>700</c:v>
                </c:pt>
                <c:pt idx="18">
                  <c:v>700</c:v>
                </c:pt>
                <c:pt idx="19">
                  <c:v>700</c:v>
                </c:pt>
                <c:pt idx="20">
                  <c:v>700</c:v>
                </c:pt>
                <c:pt idx="21">
                  <c:v>700</c:v>
                </c:pt>
                <c:pt idx="22">
                  <c:v>700</c:v>
                </c:pt>
                <c:pt idx="23">
                  <c:v>700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9B0B-4303-93DF-60F2A6B27DB2}"/>
            </c:ext>
          </c:extLst>
        </c:ser>
        <c:ser>
          <c:idx val="3"/>
          <c:order val="3"/>
          <c:tx>
            <c:strRef>
              <c:f>Galaxy!$C$13</c:f>
              <c:strCache>
                <c:ptCount val="1"/>
                <c:pt idx="0">
                  <c:v>Ring Region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val>
            <c:numRef>
              <c:f>Galaxy!$Q$13:$AN$13</c:f>
              <c:numCache>
                <c:formatCode>General</c:formatCode>
                <c:ptCount val="24"/>
                <c:pt idx="0">
                  <c:v>600</c:v>
                </c:pt>
                <c:pt idx="1">
                  <c:v>600</c:v>
                </c:pt>
                <c:pt idx="2">
                  <c:v>600</c:v>
                </c:pt>
                <c:pt idx="3">
                  <c:v>600</c:v>
                </c:pt>
                <c:pt idx="4">
                  <c:v>600</c:v>
                </c:pt>
                <c:pt idx="5">
                  <c:v>600</c:v>
                </c:pt>
                <c:pt idx="6">
                  <c:v>600</c:v>
                </c:pt>
                <c:pt idx="7">
                  <c:v>600</c:v>
                </c:pt>
                <c:pt idx="8">
                  <c:v>600</c:v>
                </c:pt>
                <c:pt idx="9">
                  <c:v>600</c:v>
                </c:pt>
                <c:pt idx="10">
                  <c:v>600</c:v>
                </c:pt>
                <c:pt idx="11">
                  <c:v>600</c:v>
                </c:pt>
                <c:pt idx="12">
                  <c:v>600</c:v>
                </c:pt>
                <c:pt idx="13">
                  <c:v>600</c:v>
                </c:pt>
                <c:pt idx="14">
                  <c:v>600</c:v>
                </c:pt>
                <c:pt idx="15">
                  <c:v>600</c:v>
                </c:pt>
                <c:pt idx="16">
                  <c:v>600</c:v>
                </c:pt>
                <c:pt idx="17">
                  <c:v>600</c:v>
                </c:pt>
                <c:pt idx="18">
                  <c:v>600</c:v>
                </c:pt>
                <c:pt idx="19">
                  <c:v>600</c:v>
                </c:pt>
                <c:pt idx="20">
                  <c:v>600</c:v>
                </c:pt>
                <c:pt idx="21">
                  <c:v>600</c:v>
                </c:pt>
                <c:pt idx="22">
                  <c:v>600</c:v>
                </c:pt>
                <c:pt idx="23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0B-4303-93DF-60F2A6B27DB2}"/>
            </c:ext>
          </c:extLst>
        </c:ser>
        <c:ser>
          <c:idx val="4"/>
          <c:order val="4"/>
          <c:tx>
            <c:strRef>
              <c:f>Galaxy!$C$14</c:f>
              <c:strCache>
                <c:ptCount val="1"/>
                <c:pt idx="0">
                  <c:v>Iris Region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val>
            <c:numRef>
              <c:f>Galaxy!$Q$14:$AN$14</c:f>
              <c:numCache>
                <c:formatCode>General</c:formatCode>
                <c:ptCount val="24"/>
                <c:pt idx="0">
                  <c:v>400</c:v>
                </c:pt>
                <c:pt idx="1">
                  <c:v>400</c:v>
                </c:pt>
                <c:pt idx="2">
                  <c:v>400</c:v>
                </c:pt>
                <c:pt idx="3">
                  <c:v>400</c:v>
                </c:pt>
                <c:pt idx="4">
                  <c:v>400</c:v>
                </c:pt>
                <c:pt idx="5">
                  <c:v>400</c:v>
                </c:pt>
                <c:pt idx="6">
                  <c:v>400</c:v>
                </c:pt>
                <c:pt idx="7">
                  <c:v>400</c:v>
                </c:pt>
                <c:pt idx="8">
                  <c:v>400</c:v>
                </c:pt>
                <c:pt idx="9">
                  <c:v>400</c:v>
                </c:pt>
                <c:pt idx="10">
                  <c:v>400</c:v>
                </c:pt>
                <c:pt idx="11">
                  <c:v>400</c:v>
                </c:pt>
                <c:pt idx="12">
                  <c:v>400</c:v>
                </c:pt>
                <c:pt idx="13">
                  <c:v>400</c:v>
                </c:pt>
                <c:pt idx="14">
                  <c:v>400</c:v>
                </c:pt>
                <c:pt idx="15">
                  <c:v>400</c:v>
                </c:pt>
                <c:pt idx="16">
                  <c:v>400</c:v>
                </c:pt>
                <c:pt idx="17">
                  <c:v>400</c:v>
                </c:pt>
                <c:pt idx="18">
                  <c:v>400</c:v>
                </c:pt>
                <c:pt idx="19">
                  <c:v>400</c:v>
                </c:pt>
                <c:pt idx="20">
                  <c:v>400</c:v>
                </c:pt>
                <c:pt idx="21">
                  <c:v>400</c:v>
                </c:pt>
                <c:pt idx="22">
                  <c:v>400</c:v>
                </c:pt>
                <c:pt idx="23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B0B-4303-93DF-60F2A6B27DB2}"/>
            </c:ext>
          </c:extLst>
        </c:ser>
        <c:ser>
          <c:idx val="5"/>
          <c:order val="5"/>
          <c:tx>
            <c:strRef>
              <c:f>Galaxy!$C$15</c:f>
              <c:strCache>
                <c:ptCount val="1"/>
                <c:pt idx="0">
                  <c:v>Core Region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val>
            <c:numRef>
              <c:f>Galaxy!$Q$15:$AN$15</c:f>
              <c:numCache>
                <c:formatCode>General</c:formatCode>
                <c:ptCount val="24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  <c:pt idx="15">
                  <c:v>150</c:v>
                </c:pt>
                <c:pt idx="16">
                  <c:v>150</c:v>
                </c:pt>
                <c:pt idx="17">
                  <c:v>150</c:v>
                </c:pt>
                <c:pt idx="18">
                  <c:v>150</c:v>
                </c:pt>
                <c:pt idx="19">
                  <c:v>150</c:v>
                </c:pt>
                <c:pt idx="20">
                  <c:v>150</c:v>
                </c:pt>
                <c:pt idx="21">
                  <c:v>150</c:v>
                </c:pt>
                <c:pt idx="22">
                  <c:v>150</c:v>
                </c:pt>
                <c:pt idx="23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B0B-4303-93DF-60F2A6B27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279695"/>
        <c:axId val="1061287599"/>
        <c:extLst/>
      </c:radarChart>
      <c:catAx>
        <c:axId val="106127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287599"/>
        <c:crosses val="autoZero"/>
        <c:auto val="1"/>
        <c:lblAlgn val="ctr"/>
        <c:lblOffset val="100"/>
        <c:noMultiLvlLbl val="0"/>
      </c:catAx>
      <c:valAx>
        <c:axId val="106128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279695"/>
        <c:crosses val="autoZero"/>
        <c:crossBetween val="between"/>
        <c:min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</c:v>
                </c:pt>
              </c:numLit>
            </c:plus>
            <c:minus>
              <c:numRef>
                <c:f>'Celestial Body Comparison Neat'!$B$6:$E$6</c:f>
                <c:numCache>
                  <c:formatCode>General</c:formatCode>
                  <c:ptCount val="4"/>
                  <c:pt idx="0">
                    <c:v>10649</c:v>
                  </c:pt>
                  <c:pt idx="1">
                    <c:v>558150</c:v>
                  </c:pt>
                  <c:pt idx="2">
                    <c:v>5383900</c:v>
                  </c:pt>
                  <c:pt idx="3">
                    <c:v>213299998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'Celestial Body Comparison Neat'!$C$2</c:f>
              <c:strCache>
                <c:ptCount val="1"/>
                <c:pt idx="0">
                  <c:v>Solid Planet</c:v>
                </c:pt>
              </c:strCache>
            </c:strRef>
          </c:cat>
          <c:val>
            <c:numRef>
              <c:f>'Celestial Body Comparison Neat'!$C$3</c:f>
              <c:numCache>
                <c:formatCode>#,##0</c:formatCode>
                <c:ptCount val="1"/>
                <c:pt idx="0">
                  <c:v>944150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D8-42A6-ACA2-DFF9E88FFFF4}"/>
            </c:ext>
          </c:extLst>
        </c:ser>
        <c:ser>
          <c:idx val="1"/>
          <c:order val="1"/>
          <c:spPr>
            <a:noFill/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'Celestial Body Comparison Neat'!$C$2</c:f>
              <c:strCache>
                <c:ptCount val="1"/>
                <c:pt idx="0">
                  <c:v>Solid Planet</c:v>
                </c:pt>
              </c:strCache>
            </c:strRef>
          </c:cat>
          <c:val>
            <c:numRef>
              <c:f>'Celestial Body Comparison Neat'!$C$4</c:f>
              <c:numCache>
                <c:formatCode>#,##0</c:formatCode>
                <c:ptCount val="1"/>
                <c:pt idx="0">
                  <c:v>555850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D8-42A6-ACA2-DFF9E88FFFF4}"/>
            </c:ext>
          </c:extLst>
        </c:ser>
        <c:ser>
          <c:idx val="2"/>
          <c:order val="2"/>
          <c:spPr>
            <a:noFill/>
            <a:ln>
              <a:solidFill>
                <a:sysClr val="windowText" lastClr="000000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'Celestial Body Comparison Neat'!$B$7:$E$7</c:f>
                <c:numCache>
                  <c:formatCode>General</c:formatCode>
                  <c:ptCount val="4"/>
                  <c:pt idx="0">
                    <c:v>63400</c:v>
                  </c:pt>
                  <c:pt idx="1">
                    <c:v>150000</c:v>
                  </c:pt>
                  <c:pt idx="2">
                    <c:v>64000000</c:v>
                  </c:pt>
                  <c:pt idx="3">
                    <c:v>85375000000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0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'Celestial Body Comparison Neat'!$C$2</c:f>
              <c:strCache>
                <c:ptCount val="1"/>
                <c:pt idx="0">
                  <c:v>Solid Planet</c:v>
                </c:pt>
              </c:strCache>
            </c:strRef>
          </c:cat>
          <c:val>
            <c:numRef>
              <c:f>'Celestial Body Comparison Neat'!$C$5</c:f>
              <c:numCache>
                <c:formatCode>#,##0</c:formatCode>
                <c:ptCount val="1"/>
                <c:pt idx="0">
                  <c:v>450000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D8-42A6-ACA2-DFF9E88FF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33324480"/>
        <c:axId val="833323648"/>
      </c:barChart>
      <c:catAx>
        <c:axId val="833324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323648"/>
        <c:crosses val="autoZero"/>
        <c:auto val="1"/>
        <c:lblAlgn val="ctr"/>
        <c:lblOffset val="100"/>
        <c:noMultiLvlLbl val="0"/>
      </c:catAx>
      <c:valAx>
        <c:axId val="83332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32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Spacecraft Capacity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1"/>
          <c:tx>
            <c:strRef>
              <c:f>'Ship Classification'!$F$2</c:f>
              <c:strCache>
                <c:ptCount val="1"/>
                <c:pt idx="0">
                  <c:v>Strikecraft/Tank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'Ship Classification'!$C$7:$D$19</c:f>
              <c:multiLvlStrCache>
                <c:ptCount val="13"/>
                <c:lvl>
                  <c:pt idx="0">
                    <c:v>Interceptors</c:v>
                  </c:pt>
                  <c:pt idx="1">
                    <c:v>Fighter</c:v>
                  </c:pt>
                  <c:pt idx="2">
                    <c:v>Attackers</c:v>
                  </c:pt>
                  <c:pt idx="3">
                    <c:v>Transports</c:v>
                  </c:pt>
                  <c:pt idx="4">
                    <c:v>Gunboats</c:v>
                  </c:pt>
                  <c:pt idx="5">
                    <c:v>Vessels</c:v>
                  </c:pt>
                  <c:pt idx="6">
                    <c:v>Shuttles</c:v>
                  </c:pt>
                  <c:pt idx="7">
                    <c:v>Yacths</c:v>
                  </c:pt>
                  <c:pt idx="8">
                    <c:v>Shepherds</c:v>
                  </c:pt>
                  <c:pt idx="9">
                    <c:v>Wardens</c:v>
                  </c:pt>
                  <c:pt idx="10">
                    <c:v>Freighters</c:v>
                  </c:pt>
                  <c:pt idx="11">
                    <c:v>Cargo ships</c:v>
                  </c:pt>
                  <c:pt idx="12">
                    <c:v>?</c:v>
                  </c:pt>
                </c:lvl>
                <c:lvl>
                  <c:pt idx="0">
                    <c:v>Strikecrafts</c:v>
                  </c:pt>
                  <c:pt idx="4">
                    <c:v>Gunships</c:v>
                  </c:pt>
                  <c:pt idx="6">
                    <c:v>Transports</c:v>
                  </c:pt>
                  <c:pt idx="9">
                    <c:v>Cargo ships</c:v>
                  </c:pt>
                  <c:pt idx="12">
                    <c:v>Missing Class</c:v>
                  </c:pt>
                </c:lvl>
              </c:multiLvlStrCache>
            </c:multiLvlStrRef>
          </c:cat>
          <c:val>
            <c:numRef>
              <c:f>'Ship Classification'!$F$7:$F$19</c:f>
              <c:numCache>
                <c:formatCode>#,##0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D-4C21-933B-0E1C6D907014}"/>
            </c:ext>
          </c:extLst>
        </c:ser>
        <c:ser>
          <c:idx val="1"/>
          <c:order val="2"/>
          <c:tx>
            <c:strRef>
              <c:f>'Ship Classification'!$G$2</c:f>
              <c:strCache>
                <c:ptCount val="1"/>
                <c:pt idx="0">
                  <c:v>Cargo ships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'Ship Classification'!$C$7:$D$19</c:f>
              <c:multiLvlStrCache>
                <c:ptCount val="13"/>
                <c:lvl>
                  <c:pt idx="0">
                    <c:v>Interceptors</c:v>
                  </c:pt>
                  <c:pt idx="1">
                    <c:v>Fighter</c:v>
                  </c:pt>
                  <c:pt idx="2">
                    <c:v>Attackers</c:v>
                  </c:pt>
                  <c:pt idx="3">
                    <c:v>Transports</c:v>
                  </c:pt>
                  <c:pt idx="4">
                    <c:v>Gunboats</c:v>
                  </c:pt>
                  <c:pt idx="5">
                    <c:v>Vessels</c:v>
                  </c:pt>
                  <c:pt idx="6">
                    <c:v>Shuttles</c:v>
                  </c:pt>
                  <c:pt idx="7">
                    <c:v>Yacths</c:v>
                  </c:pt>
                  <c:pt idx="8">
                    <c:v>Shepherds</c:v>
                  </c:pt>
                  <c:pt idx="9">
                    <c:v>Wardens</c:v>
                  </c:pt>
                  <c:pt idx="10">
                    <c:v>Freighters</c:v>
                  </c:pt>
                  <c:pt idx="11">
                    <c:v>Cargo ships</c:v>
                  </c:pt>
                  <c:pt idx="12">
                    <c:v>?</c:v>
                  </c:pt>
                </c:lvl>
                <c:lvl>
                  <c:pt idx="0">
                    <c:v>Strikecrafts</c:v>
                  </c:pt>
                  <c:pt idx="4">
                    <c:v>Gunships</c:v>
                  </c:pt>
                  <c:pt idx="6">
                    <c:v>Transports</c:v>
                  </c:pt>
                  <c:pt idx="9">
                    <c:v>Cargo ships</c:v>
                  </c:pt>
                  <c:pt idx="12">
                    <c:v>Missing Class</c:v>
                  </c:pt>
                </c:lvl>
              </c:multiLvlStrCache>
            </c:multiLvlStrRef>
          </c:cat>
          <c:val>
            <c:numRef>
              <c:f>'Ship Classification'!$G$7:$G$19</c:f>
              <c:numCache>
                <c:formatCode>#,##0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D-4C21-933B-0E1C6D907014}"/>
            </c:ext>
          </c:extLst>
        </c:ser>
        <c:ser>
          <c:idx val="3"/>
          <c:order val="3"/>
          <c:tx>
            <c:strRef>
              <c:f>'Ship Classification'!$H$2</c:f>
              <c:strCache>
                <c:ptCount val="1"/>
                <c:pt idx="0">
                  <c:v>Light Capital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'Ship Classification'!$C$7:$D$19</c:f>
              <c:multiLvlStrCache>
                <c:ptCount val="13"/>
                <c:lvl>
                  <c:pt idx="0">
                    <c:v>Interceptors</c:v>
                  </c:pt>
                  <c:pt idx="1">
                    <c:v>Fighter</c:v>
                  </c:pt>
                  <c:pt idx="2">
                    <c:v>Attackers</c:v>
                  </c:pt>
                  <c:pt idx="3">
                    <c:v>Transports</c:v>
                  </c:pt>
                  <c:pt idx="4">
                    <c:v>Gunboats</c:v>
                  </c:pt>
                  <c:pt idx="5">
                    <c:v>Vessels</c:v>
                  </c:pt>
                  <c:pt idx="6">
                    <c:v>Shuttles</c:v>
                  </c:pt>
                  <c:pt idx="7">
                    <c:v>Yacths</c:v>
                  </c:pt>
                  <c:pt idx="8">
                    <c:v>Shepherds</c:v>
                  </c:pt>
                  <c:pt idx="9">
                    <c:v>Wardens</c:v>
                  </c:pt>
                  <c:pt idx="10">
                    <c:v>Freighters</c:v>
                  </c:pt>
                  <c:pt idx="11">
                    <c:v>Cargo ships</c:v>
                  </c:pt>
                  <c:pt idx="12">
                    <c:v>?</c:v>
                  </c:pt>
                </c:lvl>
                <c:lvl>
                  <c:pt idx="0">
                    <c:v>Strikecrafts</c:v>
                  </c:pt>
                  <c:pt idx="4">
                    <c:v>Gunships</c:v>
                  </c:pt>
                  <c:pt idx="6">
                    <c:v>Transports</c:v>
                  </c:pt>
                  <c:pt idx="9">
                    <c:v>Cargo ships</c:v>
                  </c:pt>
                  <c:pt idx="12">
                    <c:v>Missing Class</c:v>
                  </c:pt>
                </c:lvl>
              </c:multiLvlStrCache>
            </c:multiLvlStrRef>
          </c:cat>
          <c:val>
            <c:numRef>
              <c:f>'Ship Classification'!$H$7:$H$19</c:f>
              <c:numCache>
                <c:formatCode>#,##0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1D-4C21-933B-0E1C6D907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1862647743"/>
        <c:axId val="1862657311"/>
      </c:barChart>
      <c:barChart>
        <c:barDir val="col"/>
        <c:grouping val="clustered"/>
        <c:varyColors val="0"/>
        <c:ser>
          <c:idx val="4"/>
          <c:order val="0"/>
          <c:tx>
            <c:strRef>
              <c:f>'Ship Classification'!$E$2</c:f>
              <c:strCache>
                <c:ptCount val="1"/>
                <c:pt idx="0">
                  <c:v>People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'Ship Classification'!$E$7:$E$19</c:f>
              <c:numCache>
                <c:formatCode>#,##0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8</c:v>
                </c:pt>
                <c:pt idx="4">
                  <c:v>16</c:v>
                </c:pt>
                <c:pt idx="5">
                  <c:v>30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30</c:v>
                </c:pt>
                <c:pt idx="10">
                  <c:v>40</c:v>
                </c:pt>
                <c:pt idx="11">
                  <c:v>70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1D-4C21-933B-0E1C6D907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1862665631"/>
        <c:axId val="1862645663"/>
      </c:barChart>
      <c:catAx>
        <c:axId val="1862647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657311"/>
        <c:crosses val="autoZero"/>
        <c:auto val="1"/>
        <c:lblAlgn val="ctr"/>
        <c:lblOffset val="100"/>
        <c:noMultiLvlLbl val="0"/>
      </c:catAx>
      <c:valAx>
        <c:axId val="186265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Strikecraft Units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cross"/>
        <c:minorTickMark val="in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647743"/>
        <c:crosses val="autoZero"/>
        <c:crossBetween val="between"/>
        <c:majorUnit val="1"/>
      </c:valAx>
      <c:valAx>
        <c:axId val="1862645663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accent1"/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People Units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cross"/>
        <c:minorTickMark val="in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665631"/>
        <c:crosses val="max"/>
        <c:crossBetween val="between"/>
      </c:valAx>
      <c:catAx>
        <c:axId val="18626656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626456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Light Capitals Capacity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'Ship Classification'!$F$2</c:f>
              <c:strCache>
                <c:ptCount val="1"/>
                <c:pt idx="0">
                  <c:v>Strikecraft/Tank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'Ship Classification'!$C$20:$D$26</c15:sqref>
                  </c15:fullRef>
                </c:ext>
              </c:extLst>
              <c:f>'Ship Classification'!$C$20:$D$25</c:f>
              <c:multiLvlStrCache>
                <c:ptCount val="6"/>
                <c:lvl>
                  <c:pt idx="0">
                    <c:v>Corvettes</c:v>
                  </c:pt>
                  <c:pt idx="1">
                    <c:v>?</c:v>
                  </c:pt>
                  <c:pt idx="2">
                    <c:v>Frigates</c:v>
                  </c:pt>
                  <c:pt idx="3">
                    <c:v>?</c:v>
                  </c:pt>
                  <c:pt idx="4">
                    <c:v>Ferries</c:v>
                  </c:pt>
                  <c:pt idx="5">
                    <c:v>?</c:v>
                  </c:pt>
                </c:lvl>
                <c:lvl>
                  <c:pt idx="0">
                    <c:v>Light Capitals</c:v>
                  </c:pt>
                  <c:pt idx="3">
                    <c:v>Light Carriers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'Ship Classification'!$F$20:$F$26</c15:sqref>
                  </c15:fullRef>
                </c:ext>
              </c:extLst>
              <c:f>'Ship Classification'!$F$20:$F$25</c:f>
              <c:numCache>
                <c:formatCode>#,##0</c:formatCode>
                <c:ptCount val="6"/>
                <c:pt idx="0">
                  <c:v>2</c:v>
                </c:pt>
                <c:pt idx="2">
                  <c:v>4</c:v>
                </c:pt>
                <c:pt idx="4">
                  <c:v>200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98-47F8-8631-E2A0E01C5D82}"/>
            </c:ext>
          </c:extLst>
        </c:ser>
        <c:ser>
          <c:idx val="2"/>
          <c:order val="2"/>
          <c:tx>
            <c:strRef>
              <c:f>'Ship Classification'!$G$2</c:f>
              <c:strCache>
                <c:ptCount val="1"/>
                <c:pt idx="0">
                  <c:v>Cargo ships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'Ship Classification'!$C$20:$D$26</c15:sqref>
                  </c15:fullRef>
                </c:ext>
              </c:extLst>
              <c:f>'Ship Classification'!$C$20:$D$25</c:f>
              <c:multiLvlStrCache>
                <c:ptCount val="6"/>
                <c:lvl>
                  <c:pt idx="0">
                    <c:v>Corvettes</c:v>
                  </c:pt>
                  <c:pt idx="1">
                    <c:v>?</c:v>
                  </c:pt>
                  <c:pt idx="2">
                    <c:v>Frigates</c:v>
                  </c:pt>
                  <c:pt idx="3">
                    <c:v>?</c:v>
                  </c:pt>
                  <c:pt idx="4">
                    <c:v>Ferries</c:v>
                  </c:pt>
                  <c:pt idx="5">
                    <c:v>?</c:v>
                  </c:pt>
                </c:lvl>
                <c:lvl>
                  <c:pt idx="0">
                    <c:v>Light Capitals</c:v>
                  </c:pt>
                  <c:pt idx="3">
                    <c:v>Light Carriers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'Ship Classification'!$G$20:$G$26</c15:sqref>
                  </c15:fullRef>
                </c:ext>
              </c:extLst>
              <c:f>'Ship Classification'!$G$20:$G$25</c:f>
              <c:numCache>
                <c:formatCode>#,##0</c:formatCode>
                <c:ptCount val="6"/>
                <c:pt idx="0">
                  <c:v>1</c:v>
                </c:pt>
                <c:pt idx="2">
                  <c:v>2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98-47F8-8631-E2A0E01C5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1938398207"/>
        <c:axId val="1938389055"/>
      </c:barChart>
      <c:barChart>
        <c:barDir val="col"/>
        <c:grouping val="clustered"/>
        <c:varyColors val="0"/>
        <c:ser>
          <c:idx val="0"/>
          <c:order val="0"/>
          <c:tx>
            <c:strRef>
              <c:f>'Ship Classification'!$E$2</c:f>
              <c:strCache>
                <c:ptCount val="1"/>
                <c:pt idx="0">
                  <c:v>People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'Ship Classification'!$C$20:$D$25</c15:sqref>
                  </c15:fullRef>
                </c:ext>
              </c:extLst>
              <c:f>'Ship Classification'!$C$20:$D$25</c:f>
              <c:multiLvlStrCache>
                <c:ptCount val="6"/>
                <c:lvl>
                  <c:pt idx="0">
                    <c:v>Corvettes</c:v>
                  </c:pt>
                  <c:pt idx="1">
                    <c:v>?</c:v>
                  </c:pt>
                  <c:pt idx="2">
                    <c:v>Frigates</c:v>
                  </c:pt>
                  <c:pt idx="3">
                    <c:v>?</c:v>
                  </c:pt>
                  <c:pt idx="4">
                    <c:v>Ferries</c:v>
                  </c:pt>
                  <c:pt idx="5">
                    <c:v>?</c:v>
                  </c:pt>
                </c:lvl>
                <c:lvl>
                  <c:pt idx="0">
                    <c:v>Light Capitals</c:v>
                  </c:pt>
                  <c:pt idx="3">
                    <c:v>Light Carriers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'Ship Classification'!$E$20:$E$26</c15:sqref>
                  </c15:fullRef>
                </c:ext>
              </c:extLst>
              <c:f>'Ship Classification'!$E$20:$E$25</c:f>
              <c:numCache>
                <c:formatCode>#,##0</c:formatCode>
                <c:ptCount val="6"/>
                <c:pt idx="0">
                  <c:v>400</c:v>
                </c:pt>
                <c:pt idx="1">
                  <c:v>0</c:v>
                </c:pt>
                <c:pt idx="2">
                  <c:v>1700</c:v>
                </c:pt>
                <c:pt idx="3">
                  <c:v>0</c:v>
                </c:pt>
                <c:pt idx="4">
                  <c:v>7000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98-47F8-8631-E2A0E01C5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1750302479"/>
        <c:axId val="1750302063"/>
      </c:barChart>
      <c:lineChart>
        <c:grouping val="standard"/>
        <c:varyColors val="0"/>
        <c:ser>
          <c:idx val="4"/>
          <c:order val="3"/>
          <c:tx>
            <c:strRef>
              <c:f>'Ship Classification'!$H$2</c:f>
              <c:strCache>
                <c:ptCount val="1"/>
                <c:pt idx="0">
                  <c:v>Light Capital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'Ship Classification'!$C$20:$D$26</c15:sqref>
                  </c15:fullRef>
                </c:ext>
              </c:extLst>
              <c:f>'Ship Classification'!$C$20:$D$25</c:f>
              <c:multiLvlStrCache>
                <c:ptCount val="6"/>
                <c:lvl>
                  <c:pt idx="0">
                    <c:v>Corvettes</c:v>
                  </c:pt>
                  <c:pt idx="1">
                    <c:v>?</c:v>
                  </c:pt>
                  <c:pt idx="2">
                    <c:v>Frigates</c:v>
                  </c:pt>
                  <c:pt idx="3">
                    <c:v>?</c:v>
                  </c:pt>
                  <c:pt idx="4">
                    <c:v>Ferries</c:v>
                  </c:pt>
                  <c:pt idx="5">
                    <c:v>?</c:v>
                  </c:pt>
                </c:lvl>
                <c:lvl>
                  <c:pt idx="0">
                    <c:v>Light Capitals</c:v>
                  </c:pt>
                  <c:pt idx="3">
                    <c:v>Light Carriers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'Ship Classification'!$H$20:$H$26</c15:sqref>
                  </c15:fullRef>
                </c:ext>
              </c:extLst>
              <c:f>'Ship Classification'!$H$20:$H$25</c:f>
              <c:numCache>
                <c:formatCode>#,##0</c:formatCode>
                <c:ptCount val="6"/>
                <c:pt idx="0">
                  <c:v>0</c:v>
                </c:pt>
                <c:pt idx="2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998-47F8-8631-E2A0E01C5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398207"/>
        <c:axId val="1938389055"/>
      </c:lineChart>
      <c:catAx>
        <c:axId val="1938398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389055"/>
        <c:crosses val="autoZero"/>
        <c:auto val="1"/>
        <c:lblAlgn val="ctr"/>
        <c:lblOffset val="100"/>
        <c:noMultiLvlLbl val="0"/>
      </c:catAx>
      <c:valAx>
        <c:axId val="193838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Strikecrafts &amp; Cargoships Units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cross"/>
        <c:minorTickMark val="in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398207"/>
        <c:crosses val="autoZero"/>
        <c:crossBetween val="between"/>
      </c:valAx>
      <c:valAx>
        <c:axId val="1750302063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accent1"/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People Units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cross"/>
        <c:minorTickMark val="in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302479"/>
        <c:crosses val="max"/>
        <c:crossBetween val="between"/>
      </c:valAx>
      <c:catAx>
        <c:axId val="17503024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503020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Capital Warship Capacity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'Ship Classification'!$F$2</c:f>
              <c:strCache>
                <c:ptCount val="1"/>
                <c:pt idx="0">
                  <c:v>Strikecraft/Tank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'Ship Classification'!$C$26:$D$37</c:f>
              <c:multiLvlStrCache>
                <c:ptCount val="12"/>
                <c:lvl>
                  <c:pt idx="0">
                    <c:v>?</c:v>
                  </c:pt>
                  <c:pt idx="1">
                    <c:v>Assault ships</c:v>
                  </c:pt>
                  <c:pt idx="2">
                    <c:v>Carriers</c:v>
                  </c:pt>
                  <c:pt idx="3">
                    <c:v>Cruisers</c:v>
                  </c:pt>
                  <c:pt idx="4">
                    <c:v>Battle cruisers</c:v>
                  </c:pt>
                  <c:pt idx="5">
                    <c:v>Flagships</c:v>
                  </c:pt>
                  <c:pt idx="6">
                    <c:v>Dreadnoughts</c:v>
                  </c:pt>
                  <c:pt idx="7">
                    <c:v>Satelites</c:v>
                  </c:pt>
                  <c:pt idx="8">
                    <c:v>?</c:v>
                  </c:pt>
                  <c:pt idx="10">
                    <c:v>Citadels</c:v>
                  </c:pt>
                  <c:pt idx="11">
                    <c:v>Stations</c:v>
                  </c:pt>
                </c:lvl>
                <c:lvl>
                  <c:pt idx="0">
                    <c:v>Carriers</c:v>
                  </c:pt>
                  <c:pt idx="3">
                    <c:v>Capital Warships</c:v>
                  </c:pt>
                  <c:pt idx="7">
                    <c:v>Mobile Stations</c:v>
                  </c:pt>
                  <c:pt idx="9">
                    <c:v>Stations</c:v>
                  </c:pt>
                </c:lvl>
              </c:multiLvlStrCache>
            </c:multiLvlStrRef>
          </c:cat>
          <c:val>
            <c:numRef>
              <c:f>'Ship Classification'!$F$26:$F$37</c:f>
              <c:numCache>
                <c:formatCode>#,##0</c:formatCode>
                <c:ptCount val="12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090B-467A-9C73-20A3E4A31AFB}"/>
            </c:ext>
          </c:extLst>
        </c:ser>
        <c:ser>
          <c:idx val="3"/>
          <c:order val="2"/>
          <c:tx>
            <c:strRef>
              <c:f>'Ship Classification'!$G$2</c:f>
              <c:strCache>
                <c:ptCount val="1"/>
                <c:pt idx="0">
                  <c:v>Cargo ships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'Ship Classification'!$C$26:$D$37</c:f>
              <c:multiLvlStrCache>
                <c:ptCount val="12"/>
                <c:lvl>
                  <c:pt idx="0">
                    <c:v>?</c:v>
                  </c:pt>
                  <c:pt idx="1">
                    <c:v>Assault ships</c:v>
                  </c:pt>
                  <c:pt idx="2">
                    <c:v>Carriers</c:v>
                  </c:pt>
                  <c:pt idx="3">
                    <c:v>Cruisers</c:v>
                  </c:pt>
                  <c:pt idx="4">
                    <c:v>Battle cruisers</c:v>
                  </c:pt>
                  <c:pt idx="5">
                    <c:v>Flagships</c:v>
                  </c:pt>
                  <c:pt idx="6">
                    <c:v>Dreadnoughts</c:v>
                  </c:pt>
                  <c:pt idx="7">
                    <c:v>Satelites</c:v>
                  </c:pt>
                  <c:pt idx="8">
                    <c:v>?</c:v>
                  </c:pt>
                  <c:pt idx="10">
                    <c:v>Citadels</c:v>
                  </c:pt>
                  <c:pt idx="11">
                    <c:v>Stations</c:v>
                  </c:pt>
                </c:lvl>
                <c:lvl>
                  <c:pt idx="0">
                    <c:v>Carriers</c:v>
                  </c:pt>
                  <c:pt idx="3">
                    <c:v>Capital Warships</c:v>
                  </c:pt>
                  <c:pt idx="7">
                    <c:v>Mobile Stations</c:v>
                  </c:pt>
                  <c:pt idx="9">
                    <c:v>Stations</c:v>
                  </c:pt>
                </c:lvl>
              </c:multiLvlStrCache>
            </c:multiLvlStrRef>
          </c:cat>
          <c:val>
            <c:numRef>
              <c:f>'Ship Classification'!$G$26:$G$37</c:f>
              <c:numCache>
                <c:formatCode>#,##0</c:formatCode>
                <c:ptCount val="12"/>
                <c:pt idx="1">
                  <c:v>1</c:v>
                </c:pt>
                <c:pt idx="2">
                  <c:v>2</c:v>
                </c:pt>
                <c:pt idx="5">
                  <c:v>0</c:v>
                </c:pt>
                <c:pt idx="6">
                  <c:v>0</c:v>
                </c:pt>
                <c:pt idx="8">
                  <c:v>3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090B-467A-9C73-20A3E4A31AFB}"/>
            </c:ext>
          </c:extLst>
        </c:ser>
        <c:ser>
          <c:idx val="4"/>
          <c:order val="3"/>
          <c:tx>
            <c:strRef>
              <c:f>'Ship Classification'!$H$2</c:f>
              <c:strCache>
                <c:ptCount val="1"/>
                <c:pt idx="0">
                  <c:v>Light Capital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'Ship Classification'!$C$26:$D$37</c:f>
              <c:multiLvlStrCache>
                <c:ptCount val="12"/>
                <c:lvl>
                  <c:pt idx="0">
                    <c:v>?</c:v>
                  </c:pt>
                  <c:pt idx="1">
                    <c:v>Assault ships</c:v>
                  </c:pt>
                  <c:pt idx="2">
                    <c:v>Carriers</c:v>
                  </c:pt>
                  <c:pt idx="3">
                    <c:v>Cruisers</c:v>
                  </c:pt>
                  <c:pt idx="4">
                    <c:v>Battle cruisers</c:v>
                  </c:pt>
                  <c:pt idx="5">
                    <c:v>Flagships</c:v>
                  </c:pt>
                  <c:pt idx="6">
                    <c:v>Dreadnoughts</c:v>
                  </c:pt>
                  <c:pt idx="7">
                    <c:v>Satelites</c:v>
                  </c:pt>
                  <c:pt idx="8">
                    <c:v>?</c:v>
                  </c:pt>
                  <c:pt idx="10">
                    <c:v>Citadels</c:v>
                  </c:pt>
                  <c:pt idx="11">
                    <c:v>Stations</c:v>
                  </c:pt>
                </c:lvl>
                <c:lvl>
                  <c:pt idx="0">
                    <c:v>Carriers</c:v>
                  </c:pt>
                  <c:pt idx="3">
                    <c:v>Capital Warships</c:v>
                  </c:pt>
                  <c:pt idx="7">
                    <c:v>Mobile Stations</c:v>
                  </c:pt>
                  <c:pt idx="9">
                    <c:v>Stations</c:v>
                  </c:pt>
                </c:lvl>
              </c:multiLvlStrCache>
            </c:multiLvlStrRef>
          </c:cat>
          <c:val>
            <c:numRef>
              <c:f>'Ship Classification'!$H$26:$H$37</c:f>
              <c:numCache>
                <c:formatCode>#,##0</c:formatCode>
                <c:ptCount val="1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10</c:v>
                </c:pt>
                <c:pt idx="9">
                  <c:v>5</c:v>
                </c:pt>
                <c:pt idx="10">
                  <c:v>20</c:v>
                </c:pt>
                <c:pt idx="11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090B-467A-9C73-20A3E4A31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1986397791"/>
        <c:axId val="1986394879"/>
      </c:barChart>
      <c:barChart>
        <c:barDir val="col"/>
        <c:grouping val="clustered"/>
        <c:varyColors val="0"/>
        <c:ser>
          <c:idx val="1"/>
          <c:order val="0"/>
          <c:tx>
            <c:strRef>
              <c:f>'Ship Classification'!$E$2</c:f>
              <c:strCache>
                <c:ptCount val="1"/>
                <c:pt idx="0">
                  <c:v>People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'Ship Classification'!$C$26:$D$37</c:f>
              <c:multiLvlStrCache>
                <c:ptCount val="12"/>
                <c:lvl>
                  <c:pt idx="0">
                    <c:v>?</c:v>
                  </c:pt>
                  <c:pt idx="1">
                    <c:v>Assault ships</c:v>
                  </c:pt>
                  <c:pt idx="2">
                    <c:v>Carriers</c:v>
                  </c:pt>
                  <c:pt idx="3">
                    <c:v>Cruisers</c:v>
                  </c:pt>
                  <c:pt idx="4">
                    <c:v>Battle cruisers</c:v>
                  </c:pt>
                  <c:pt idx="5">
                    <c:v>Flagships</c:v>
                  </c:pt>
                  <c:pt idx="6">
                    <c:v>Dreadnoughts</c:v>
                  </c:pt>
                  <c:pt idx="7">
                    <c:v>Satelites</c:v>
                  </c:pt>
                  <c:pt idx="8">
                    <c:v>?</c:v>
                  </c:pt>
                  <c:pt idx="10">
                    <c:v>Citadels</c:v>
                  </c:pt>
                  <c:pt idx="11">
                    <c:v>Stations</c:v>
                  </c:pt>
                </c:lvl>
                <c:lvl>
                  <c:pt idx="0">
                    <c:v>Carriers</c:v>
                  </c:pt>
                  <c:pt idx="3">
                    <c:v>Capital Warships</c:v>
                  </c:pt>
                  <c:pt idx="7">
                    <c:v>Mobile Stations</c:v>
                  </c:pt>
                  <c:pt idx="9">
                    <c:v>Stations</c:v>
                  </c:pt>
                </c:lvl>
              </c:multiLvlStrCache>
            </c:multiLvlStrRef>
          </c:cat>
          <c:val>
            <c:numRef>
              <c:f>'Ship Classification'!$E$26:$E$37</c:f>
              <c:numCache>
                <c:formatCode>#,##0</c:formatCode>
                <c:ptCount val="12"/>
                <c:pt idx="0">
                  <c:v>0</c:v>
                </c:pt>
                <c:pt idx="1">
                  <c:v>200000</c:v>
                </c:pt>
                <c:pt idx="2">
                  <c:v>200000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090B-467A-9C73-20A3E4A31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903568112"/>
        <c:axId val="903558544"/>
      </c:barChart>
      <c:catAx>
        <c:axId val="1986397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394879"/>
        <c:crosses val="autoZero"/>
        <c:auto val="1"/>
        <c:lblAlgn val="ctr"/>
        <c:lblOffset val="100"/>
        <c:noMultiLvlLbl val="0"/>
      </c:catAx>
      <c:valAx>
        <c:axId val="198639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Spaceships</a:t>
                </a:r>
                <a:r>
                  <a:rPr lang="en-ID" baseline="0"/>
                  <a:t> Units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cross"/>
        <c:minorTickMark val="in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397791"/>
        <c:crosses val="autoZero"/>
        <c:crossBetween val="between"/>
      </c:valAx>
      <c:valAx>
        <c:axId val="90355854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ash"/>
              <a:round/>
            </a:ln>
            <a:effectLst/>
          </c:spPr>
        </c:majorGridlines>
        <c:numFmt formatCode="#,##0" sourceLinked="1"/>
        <c:majorTickMark val="out"/>
        <c:minorTickMark val="in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568112"/>
        <c:crosses val="max"/>
        <c:crossBetween val="between"/>
      </c:valAx>
      <c:catAx>
        <c:axId val="9035681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035585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'Fleet Power'!$A$2</c:f>
              <c:strCache>
                <c:ptCount val="1"/>
                <c:pt idx="0">
                  <c:v>Test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cat>
            <c:strRef>
              <c:f>'Fleet Power'!$B$1:$N$1</c:f>
              <c:strCache>
                <c:ptCount val="13"/>
                <c:pt idx="0">
                  <c:v>Corvettes</c:v>
                </c:pt>
                <c:pt idx="1">
                  <c:v>?</c:v>
                </c:pt>
                <c:pt idx="2">
                  <c:v>Frigates</c:v>
                </c:pt>
                <c:pt idx="3">
                  <c:v>?</c:v>
                </c:pt>
                <c:pt idx="4">
                  <c:v>?</c:v>
                </c:pt>
                <c:pt idx="5">
                  <c:v>?</c:v>
                </c:pt>
                <c:pt idx="6">
                  <c:v>?</c:v>
                </c:pt>
                <c:pt idx="7">
                  <c:v>Assault ships</c:v>
                </c:pt>
                <c:pt idx="8">
                  <c:v>Carriers</c:v>
                </c:pt>
                <c:pt idx="9">
                  <c:v>Cruisers</c:v>
                </c:pt>
                <c:pt idx="10">
                  <c:v>Battle cruisers</c:v>
                </c:pt>
                <c:pt idx="11">
                  <c:v>Flagships</c:v>
                </c:pt>
                <c:pt idx="12">
                  <c:v>Dreadnoughts</c:v>
                </c:pt>
              </c:strCache>
            </c:strRef>
          </c:cat>
          <c:val>
            <c:numRef>
              <c:f>'Fleet Power'!$B$2:$N$2</c:f>
              <c:numCache>
                <c:formatCode>General</c:formatCode>
                <c:ptCount val="13"/>
                <c:pt idx="0">
                  <c:v>13</c:v>
                </c:pt>
                <c:pt idx="1">
                  <c:v>12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7</c:v>
                </c:pt>
                <c:pt idx="7">
                  <c:v>6</c:v>
                </c:pt>
                <c:pt idx="8">
                  <c:v>5</c:v>
                </c:pt>
                <c:pt idx="9">
                  <c:v>4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A1-4D42-948F-C13BF51C6041}"/>
            </c:ext>
          </c:extLst>
        </c:ser>
        <c:ser>
          <c:idx val="1"/>
          <c:order val="1"/>
          <c:tx>
            <c:strRef>
              <c:f>'Fleet Power'!$A$3</c:f>
              <c:strCache>
                <c:ptCount val="1"/>
                <c:pt idx="0">
                  <c:v>Rebel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cat>
            <c:strRef>
              <c:f>'Fleet Power'!$B$1:$N$1</c:f>
              <c:strCache>
                <c:ptCount val="13"/>
                <c:pt idx="0">
                  <c:v>Corvettes</c:v>
                </c:pt>
                <c:pt idx="1">
                  <c:v>?</c:v>
                </c:pt>
                <c:pt idx="2">
                  <c:v>Frigates</c:v>
                </c:pt>
                <c:pt idx="3">
                  <c:v>?</c:v>
                </c:pt>
                <c:pt idx="4">
                  <c:v>?</c:v>
                </c:pt>
                <c:pt idx="5">
                  <c:v>?</c:v>
                </c:pt>
                <c:pt idx="6">
                  <c:v>?</c:v>
                </c:pt>
                <c:pt idx="7">
                  <c:v>Assault ships</c:v>
                </c:pt>
                <c:pt idx="8">
                  <c:v>Carriers</c:v>
                </c:pt>
                <c:pt idx="9">
                  <c:v>Cruisers</c:v>
                </c:pt>
                <c:pt idx="10">
                  <c:v>Battle cruisers</c:v>
                </c:pt>
                <c:pt idx="11">
                  <c:v>Flagships</c:v>
                </c:pt>
                <c:pt idx="12">
                  <c:v>Dreadnoughts</c:v>
                </c:pt>
              </c:strCache>
            </c:strRef>
          </c:cat>
          <c:val>
            <c:numRef>
              <c:f>'Fleet Power'!$B$3:$N$3</c:f>
              <c:numCache>
                <c:formatCode>General</c:formatCode>
                <c:ptCount val="13"/>
                <c:pt idx="0">
                  <c:v>10</c:v>
                </c:pt>
                <c:pt idx="2">
                  <c:v>10</c:v>
                </c:pt>
                <c:pt idx="7">
                  <c:v>5</c:v>
                </c:pt>
                <c:pt idx="8">
                  <c:v>5</c:v>
                </c:pt>
                <c:pt idx="9">
                  <c:v>10</c:v>
                </c:pt>
                <c:pt idx="10">
                  <c:v>5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A1-4D42-948F-C13BF51C6041}"/>
            </c:ext>
          </c:extLst>
        </c:ser>
        <c:ser>
          <c:idx val="2"/>
          <c:order val="2"/>
          <c:tx>
            <c:strRef>
              <c:f>'Fleet Power'!$A$4</c:f>
              <c:strCache>
                <c:ptCount val="1"/>
                <c:pt idx="0">
                  <c:v>Empire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marker>
          <c:cat>
            <c:strRef>
              <c:f>'Fleet Power'!$B$1:$N$1</c:f>
              <c:strCache>
                <c:ptCount val="13"/>
                <c:pt idx="0">
                  <c:v>Corvettes</c:v>
                </c:pt>
                <c:pt idx="1">
                  <c:v>?</c:v>
                </c:pt>
                <c:pt idx="2">
                  <c:v>Frigates</c:v>
                </c:pt>
                <c:pt idx="3">
                  <c:v>?</c:v>
                </c:pt>
                <c:pt idx="4">
                  <c:v>?</c:v>
                </c:pt>
                <c:pt idx="5">
                  <c:v>?</c:v>
                </c:pt>
                <c:pt idx="6">
                  <c:v>?</c:v>
                </c:pt>
                <c:pt idx="7">
                  <c:v>Assault ships</c:v>
                </c:pt>
                <c:pt idx="8">
                  <c:v>Carriers</c:v>
                </c:pt>
                <c:pt idx="9">
                  <c:v>Cruisers</c:v>
                </c:pt>
                <c:pt idx="10">
                  <c:v>Battle cruisers</c:v>
                </c:pt>
                <c:pt idx="11">
                  <c:v>Flagships</c:v>
                </c:pt>
                <c:pt idx="12">
                  <c:v>Dreadnoughts</c:v>
                </c:pt>
              </c:strCache>
            </c:strRef>
          </c:cat>
          <c:val>
            <c:numRef>
              <c:f>'Fleet Power'!$B$4:$N$4</c:f>
              <c:numCache>
                <c:formatCode>General</c:formatCode>
                <c:ptCount val="13"/>
                <c:pt idx="0">
                  <c:v>5</c:v>
                </c:pt>
                <c:pt idx="2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1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A1-4D42-948F-C13BF51C6041}"/>
            </c:ext>
          </c:extLst>
        </c:ser>
        <c:ser>
          <c:idx val="3"/>
          <c:order val="3"/>
          <c:tx>
            <c:strRef>
              <c:f>'Fleet Power'!$A$5</c:f>
              <c:strCache>
                <c:ptCount val="1"/>
                <c:pt idx="0">
                  <c:v>Test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marker>
          <c:cat>
            <c:strRef>
              <c:f>'Fleet Power'!$B$1:$N$1</c:f>
              <c:strCache>
                <c:ptCount val="13"/>
                <c:pt idx="0">
                  <c:v>Corvettes</c:v>
                </c:pt>
                <c:pt idx="1">
                  <c:v>?</c:v>
                </c:pt>
                <c:pt idx="2">
                  <c:v>Frigates</c:v>
                </c:pt>
                <c:pt idx="3">
                  <c:v>?</c:v>
                </c:pt>
                <c:pt idx="4">
                  <c:v>?</c:v>
                </c:pt>
                <c:pt idx="5">
                  <c:v>?</c:v>
                </c:pt>
                <c:pt idx="6">
                  <c:v>?</c:v>
                </c:pt>
                <c:pt idx="7">
                  <c:v>Assault ships</c:v>
                </c:pt>
                <c:pt idx="8">
                  <c:v>Carriers</c:v>
                </c:pt>
                <c:pt idx="9">
                  <c:v>Cruisers</c:v>
                </c:pt>
                <c:pt idx="10">
                  <c:v>Battle cruisers</c:v>
                </c:pt>
                <c:pt idx="11">
                  <c:v>Flagships</c:v>
                </c:pt>
                <c:pt idx="12">
                  <c:v>Dreadnoughts</c:v>
                </c:pt>
              </c:strCache>
            </c:strRef>
          </c:cat>
          <c:val>
            <c:numRef>
              <c:f>'Fleet Power'!$B$5:$N$5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A1-4D42-948F-C13BF51C6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5928992"/>
        <c:axId val="1625934816"/>
        <c:extLst>
          <c:ext xmlns:c15="http://schemas.microsoft.com/office/drawing/2012/chart" uri="{02D57815-91ED-43cb-92C2-25804820EDAC}">
            <c15:filteredRad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'Fleet Power'!$A$6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4"/>
                  <c:spPr>
                    <a:gradFill rotWithShape="1">
                      <a:gsLst>
                        <a:gs pos="0">
                          <a:schemeClr val="accent5">
                            <a:lumMod val="110000"/>
                            <a:satMod val="105000"/>
                            <a:tint val="67000"/>
                          </a:schemeClr>
                        </a:gs>
                        <a:gs pos="50000">
                          <a:schemeClr val="accent5">
                            <a:lumMod val="105000"/>
                            <a:satMod val="103000"/>
                            <a:tint val="73000"/>
                          </a:schemeClr>
                        </a:gs>
                        <a:gs pos="100000">
                          <a:schemeClr val="accent5">
                            <a:lumMod val="105000"/>
                            <a:satMod val="109000"/>
                            <a:tint val="81000"/>
                          </a:schemeClr>
                        </a:gs>
                      </a:gsLst>
                      <a:lin ang="5400000" scaled="0"/>
                    </a:gradFill>
                    <a:ln w="9525" cap="flat" cmpd="sng" algn="ctr">
                      <a:solidFill>
                        <a:schemeClr val="accent5">
                          <a:shade val="95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'Fleet Power'!$B$1:$N$1</c15:sqref>
                        </c15:formulaRef>
                      </c:ext>
                    </c:extLst>
                    <c:strCache>
                      <c:ptCount val="13"/>
                      <c:pt idx="0">
                        <c:v>Corvettes</c:v>
                      </c:pt>
                      <c:pt idx="1">
                        <c:v>?</c:v>
                      </c:pt>
                      <c:pt idx="2">
                        <c:v>Frigates</c:v>
                      </c:pt>
                      <c:pt idx="3">
                        <c:v>?</c:v>
                      </c:pt>
                      <c:pt idx="4">
                        <c:v>?</c:v>
                      </c:pt>
                      <c:pt idx="5">
                        <c:v>?</c:v>
                      </c:pt>
                      <c:pt idx="6">
                        <c:v>?</c:v>
                      </c:pt>
                      <c:pt idx="7">
                        <c:v>Assault ships</c:v>
                      </c:pt>
                      <c:pt idx="8">
                        <c:v>Carriers</c:v>
                      </c:pt>
                      <c:pt idx="9">
                        <c:v>Cruisers</c:v>
                      </c:pt>
                      <c:pt idx="10">
                        <c:v>Battle cruisers</c:v>
                      </c:pt>
                      <c:pt idx="11">
                        <c:v>Flagships</c:v>
                      </c:pt>
                      <c:pt idx="12">
                        <c:v>Dreadnoughts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'Fleet Power'!$B$6:$N$6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09A1-4D42-948F-C13BF51C6041}"/>
                  </c:ext>
                </c:extLst>
              </c15:ser>
            </c15:filteredRadarSeries>
            <c15:filteredRad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'Fleet Power'!$A$7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4"/>
                  <c:spPr>
                    <a:gradFill rotWithShape="1">
                      <a:gsLst>
                        <a:gs pos="0">
                          <a:schemeClr val="accent6">
                            <a:lumMod val="110000"/>
                            <a:satMod val="105000"/>
                            <a:tint val="67000"/>
                          </a:schemeClr>
                        </a:gs>
                        <a:gs pos="50000">
                          <a:schemeClr val="accent6">
                            <a:lumMod val="105000"/>
                            <a:satMod val="103000"/>
                            <a:tint val="73000"/>
                          </a:schemeClr>
                        </a:gs>
                        <a:gs pos="100000">
                          <a:schemeClr val="accent6">
                            <a:lumMod val="105000"/>
                            <a:satMod val="109000"/>
                            <a:tint val="81000"/>
                          </a:schemeClr>
                        </a:gs>
                      </a:gsLst>
                      <a:lin ang="5400000" scaled="0"/>
                    </a:gradFill>
                    <a:ln w="9525" cap="flat" cmpd="sng" algn="ctr">
                      <a:solidFill>
                        <a:schemeClr val="accent6">
                          <a:shade val="95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'Fleet Power'!$B$1:$N$1</c15:sqref>
                        </c15:formulaRef>
                      </c:ext>
                    </c:extLst>
                    <c:strCache>
                      <c:ptCount val="13"/>
                      <c:pt idx="0">
                        <c:v>Corvettes</c:v>
                      </c:pt>
                      <c:pt idx="1">
                        <c:v>?</c:v>
                      </c:pt>
                      <c:pt idx="2">
                        <c:v>Frigates</c:v>
                      </c:pt>
                      <c:pt idx="3">
                        <c:v>?</c:v>
                      </c:pt>
                      <c:pt idx="4">
                        <c:v>?</c:v>
                      </c:pt>
                      <c:pt idx="5">
                        <c:v>?</c:v>
                      </c:pt>
                      <c:pt idx="6">
                        <c:v>?</c:v>
                      </c:pt>
                      <c:pt idx="7">
                        <c:v>Assault ships</c:v>
                      </c:pt>
                      <c:pt idx="8">
                        <c:v>Carriers</c:v>
                      </c:pt>
                      <c:pt idx="9">
                        <c:v>Cruisers</c:v>
                      </c:pt>
                      <c:pt idx="10">
                        <c:v>Battle cruisers</c:v>
                      </c:pt>
                      <c:pt idx="11">
                        <c:v>Flagships</c:v>
                      </c:pt>
                      <c:pt idx="12">
                        <c:v>Dreadnoughts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'Fleet Power'!$B$7:$N$7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9A1-4D42-948F-C13BF51C6041}"/>
                  </c:ext>
                </c:extLst>
              </c15:ser>
            </c15:filteredRadarSeries>
            <c15:filteredRad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'Fleet Power'!$A$8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4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lumMod val="110000"/>
                            <a:satMod val="105000"/>
                            <a:tint val="67000"/>
                          </a:schemeClr>
                        </a:gs>
                        <a:gs pos="50000">
                          <a:schemeClr val="accent1">
                            <a:lumMod val="60000"/>
                            <a:lumMod val="105000"/>
                            <a:satMod val="103000"/>
                            <a:tint val="73000"/>
                          </a:schemeClr>
                        </a:gs>
                        <a:gs pos="100000">
                          <a:schemeClr val="accent1">
                            <a:lumMod val="60000"/>
                            <a:lumMod val="105000"/>
                            <a:satMod val="109000"/>
                            <a:tint val="81000"/>
                          </a:schemeClr>
                        </a:gs>
                      </a:gsLst>
                      <a:lin ang="5400000" scaled="0"/>
                    </a:gradFill>
                    <a:ln w="9525" cap="flat" cmpd="sng" algn="ctr">
                      <a:solidFill>
                        <a:schemeClr val="accent1">
                          <a:lumMod val="60000"/>
                          <a:shade val="95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'Fleet Power'!$B$1:$N$1</c15:sqref>
                        </c15:formulaRef>
                      </c:ext>
                    </c:extLst>
                    <c:strCache>
                      <c:ptCount val="13"/>
                      <c:pt idx="0">
                        <c:v>Corvettes</c:v>
                      </c:pt>
                      <c:pt idx="1">
                        <c:v>?</c:v>
                      </c:pt>
                      <c:pt idx="2">
                        <c:v>Frigates</c:v>
                      </c:pt>
                      <c:pt idx="3">
                        <c:v>?</c:v>
                      </c:pt>
                      <c:pt idx="4">
                        <c:v>?</c:v>
                      </c:pt>
                      <c:pt idx="5">
                        <c:v>?</c:v>
                      </c:pt>
                      <c:pt idx="6">
                        <c:v>?</c:v>
                      </c:pt>
                      <c:pt idx="7">
                        <c:v>Assault ships</c:v>
                      </c:pt>
                      <c:pt idx="8">
                        <c:v>Carriers</c:v>
                      </c:pt>
                      <c:pt idx="9">
                        <c:v>Cruisers</c:v>
                      </c:pt>
                      <c:pt idx="10">
                        <c:v>Battle cruisers</c:v>
                      </c:pt>
                      <c:pt idx="11">
                        <c:v>Flagships</c:v>
                      </c:pt>
                      <c:pt idx="12">
                        <c:v>Dreadnoughts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'Fleet Power'!$B$8:$N$8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9A1-4D42-948F-C13BF51C6041}"/>
                  </c:ext>
                </c:extLst>
              </c15:ser>
            </c15:filteredRadarSeries>
          </c:ext>
        </c:extLst>
      </c:radarChart>
      <c:catAx>
        <c:axId val="162592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934816"/>
        <c:crosses val="autoZero"/>
        <c:auto val="1"/>
        <c:lblAlgn val="ctr"/>
        <c:lblOffset val="100"/>
        <c:noMultiLvlLbl val="0"/>
      </c:catAx>
      <c:valAx>
        <c:axId val="162593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92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2F79D62-766B-49E7-A73A-D95FAADBDADE}">
  <sheetPr/>
  <sheetViews>
    <sheetView zoomScale="65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A442953-5495-426C-B2CB-DFF35AFC441E}">
  <sheetPr>
    <tabColor rgb="FFCCECFF"/>
  </sheetPr>
  <sheetViews>
    <sheetView zoomScale="105" workbookViewId="0" zoomToFit="1"/>
  </sheetViews>
  <pageMargins left="0.7" right="0.7" top="0.75" bottom="0.7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1C159B7-31BE-4683-84AA-28545B85BB3B}">
  <sheetPr>
    <tabColor rgb="FFCCECFF"/>
  </sheetPr>
  <sheetViews>
    <sheetView zoomScale="105" workbookViewId="0" zoomToFit="1"/>
  </sheetViews>
  <pageMargins left="0.7" right="0.7" top="0.75" bottom="0.7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42AB373-7A3C-4900-9693-C58321933C8A}">
  <sheetPr>
    <tabColor rgb="FFCCECFF"/>
  </sheetPr>
  <sheetViews>
    <sheetView zoomScale="85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2958" cy="62773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F9ABCE-6ABC-41F3-98ED-B93FC6CA443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60385</xdr:colOff>
      <xdr:row>0</xdr:row>
      <xdr:rowOff>60384</xdr:rowOff>
    </xdr:from>
    <xdr:ext cx="2372263" cy="147014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34669AD-718F-41A7-99A0-1BC6C3239781}"/>
            </a:ext>
          </a:extLst>
        </xdr:cNvPr>
        <xdr:cNvSpPr txBox="1"/>
      </xdr:nvSpPr>
      <xdr:spPr>
        <a:xfrm>
          <a:off x="5124091" y="60384"/>
          <a:ext cx="2372263" cy="1470146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D" sz="1100"/>
            <a:t>This</a:t>
          </a:r>
          <a:r>
            <a:rPr lang="en-ID" sz="1100" baseline="0"/>
            <a:t> sheet doesnt have put in notes because it is used for 3D scatter plot, so the data must and still be tidy.</a:t>
          </a:r>
        </a:p>
        <a:p>
          <a:endParaRPr lang="en-ID" sz="1100" baseline="0"/>
        </a:p>
        <a:p>
          <a:r>
            <a:rPr lang="en-ID" sz="1100" baseline="0"/>
            <a:t>this still in alpha because i must define the main </a:t>
          </a:r>
          <a:r>
            <a:rPr lang="en-ID" sz="1100" b="1" baseline="0"/>
            <a:t>galaxy ratio/size </a:t>
          </a:r>
          <a:r>
            <a:rPr lang="en-ID" sz="1100" baseline="0"/>
            <a:t>and its part, and also figuring out how </a:t>
          </a:r>
          <a:r>
            <a:rPr lang="en-ID" sz="1100" b="1" baseline="0"/>
            <a:t>the color and size work</a:t>
          </a:r>
          <a:endParaRPr lang="en-ID" sz="1100" b="1"/>
        </a:p>
      </xdr:txBody>
    </xdr:sp>
    <xdr:clientData/>
  </xdr:oneCellAnchor>
  <xdr:oneCellAnchor>
    <xdr:from>
      <xdr:col>12</xdr:col>
      <xdr:colOff>69012</xdr:colOff>
      <xdr:row>20</xdr:row>
      <xdr:rowOff>103517</xdr:rowOff>
    </xdr:from>
    <xdr:ext cx="2372263" cy="198682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062C59C-82E0-4D16-A52B-E663FE6EA971}"/>
            </a:ext>
          </a:extLst>
        </xdr:cNvPr>
        <xdr:cNvSpPr txBox="1"/>
      </xdr:nvSpPr>
      <xdr:spPr>
        <a:xfrm>
          <a:off x="7556740" y="3726611"/>
          <a:ext cx="2372263" cy="1986826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D" sz="1100" b="1"/>
            <a:t>notes:</a:t>
          </a:r>
        </a:p>
        <a:p>
          <a:r>
            <a:rPr lang="en-ID" sz="1100" b="0"/>
            <a:t>-</a:t>
          </a:r>
          <a:r>
            <a:rPr lang="en-ID" sz="1100" b="0" baseline="0"/>
            <a:t> find code to make the input only filter rows with "star" or "planet" or "moon" </a:t>
          </a:r>
          <a:r>
            <a:rPr lang="en-ID" sz="1100" b="0" i="1" baseline="0"/>
            <a:t>tags</a:t>
          </a:r>
        </a:p>
        <a:p>
          <a:r>
            <a:rPr lang="en-ID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(the "star" tag for star system position in the galaxy, because its </a:t>
          </a:r>
          <a:r>
            <a:rPr lang="en-ID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position </a:t>
          </a:r>
          <a:r>
            <a:rPr lang="en-ID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rationed based on galaxy, and its </a:t>
          </a:r>
          <a:r>
            <a:rPr lang="en-ID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size </a:t>
          </a:r>
          <a:r>
            <a:rPr lang="en-ID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are all the same) </a:t>
          </a:r>
          <a:br>
            <a:rPr lang="en-ID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D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(the "planet" and "moon" tags both for their position respective to it's star) </a:t>
          </a:r>
          <a:endParaRPr lang="en-ID" sz="1100" b="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63057</xdr:colOff>
      <xdr:row>1</xdr:row>
      <xdr:rowOff>56550</xdr:rowOff>
    </xdr:from>
    <xdr:to>
      <xdr:col>17</xdr:col>
      <xdr:colOff>517584</xdr:colOff>
      <xdr:row>23</xdr:row>
      <xdr:rowOff>154368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F61108-3BEB-41F8-B72D-E3AB9DF5A8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14</xdr:row>
      <xdr:rowOff>0</xdr:rowOff>
    </xdr:from>
    <xdr:to>
      <xdr:col>17</xdr:col>
      <xdr:colOff>301925</xdr:colOff>
      <xdr:row>15</xdr:row>
      <xdr:rowOff>120770</xdr:rowOff>
    </xdr:to>
    <xdr:sp macro="" textlink="">
      <xdr:nvSpPr>
        <xdr:cNvPr id="12290" name="AutoShape 2" descr="The Survivability Onion for Paranoid Survivors : r/cataclysmdda">
          <a:extLst>
            <a:ext uri="{FF2B5EF4-FFF2-40B4-BE49-F238E27FC236}">
              <a16:creationId xmlns:a16="http://schemas.microsoft.com/office/drawing/2014/main" id="{E958E479-17DC-418E-BCFC-ECAC14C76D29}"/>
            </a:ext>
          </a:extLst>
        </xdr:cNvPr>
        <xdr:cNvSpPr>
          <a:spLocks noChangeAspect="1" noChangeArrowheads="1"/>
        </xdr:cNvSpPr>
      </xdr:nvSpPr>
      <xdr:spPr bwMode="auto">
        <a:xfrm>
          <a:off x="10705381" y="2536166"/>
          <a:ext cx="301925" cy="30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115241</xdr:colOff>
      <xdr:row>0</xdr:row>
      <xdr:rowOff>58286</xdr:rowOff>
    </xdr:from>
    <xdr:ext cx="2880689" cy="378862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03F2A91-5E86-4B86-9FCF-CE51C12D9FBA}"/>
            </a:ext>
          </a:extLst>
        </xdr:cNvPr>
        <xdr:cNvSpPr txBox="1"/>
      </xdr:nvSpPr>
      <xdr:spPr>
        <a:xfrm>
          <a:off x="17519617" y="58286"/>
          <a:ext cx="2880689" cy="3788629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D" sz="1400"/>
            <a:t>in</a:t>
          </a:r>
          <a:r>
            <a:rPr lang="en-ID" sz="1400" baseline="0"/>
            <a:t> this worldbuilding definition, ship is:</a:t>
          </a:r>
        </a:p>
        <a:p>
          <a:r>
            <a:rPr lang="en-ID" sz="1400" baseline="0"/>
            <a:t>any vehicles that doesn’t have ground contact component, some have but not for it's mainly moving system.</a:t>
          </a:r>
        </a:p>
        <a:p>
          <a:endParaRPr lang="en-ID" sz="1400" baseline="0"/>
        </a:p>
        <a:p>
          <a:r>
            <a:rPr lang="en-ID" sz="1400" baseline="0"/>
            <a:t>Meanwhile, spaceship and starship are ship specifically for space</a:t>
          </a:r>
        </a:p>
        <a:p>
          <a:endParaRPr lang="en-ID" sz="1400" baseline="0"/>
        </a:p>
        <a:p>
          <a:r>
            <a:rPr lang="en-ID" sz="1400" baseline="0"/>
            <a:t>a very general definition for galactic scale</a:t>
          </a:r>
        </a:p>
        <a:p>
          <a:endParaRPr lang="en-ID" sz="1400" baseline="0"/>
        </a:p>
        <a:p>
          <a:r>
            <a:rPr lang="en-ID" sz="1400" baseline="0"/>
            <a:t>Since size can varies between faction or even species, the ships were classified by capacity it can hold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493" cy="6293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7E2A76-1FE6-46EB-B4E3-CA1BC9FD365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493" cy="6293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05DB7-F1F5-4A81-AD31-EF8FA831A5B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56861" cy="62820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3FE6D5-EBC2-43AB-98F0-C735E420C89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39211</xdr:colOff>
      <xdr:row>34</xdr:row>
      <xdr:rowOff>176447</xdr:rowOff>
    </xdr:from>
    <xdr:to>
      <xdr:col>14</xdr:col>
      <xdr:colOff>2405593</xdr:colOff>
      <xdr:row>56</xdr:row>
      <xdr:rowOff>101162</xdr:rowOff>
    </xdr:to>
    <xdr:pic>
      <xdr:nvPicPr>
        <xdr:cNvPr id="72" name="Picture 71" descr="Order of adjectives English grammar">
          <a:extLst>
            <a:ext uri="{FF2B5EF4-FFF2-40B4-BE49-F238E27FC236}">
              <a16:creationId xmlns:a16="http://schemas.microsoft.com/office/drawing/2014/main" id="{F2CA6D60-AC10-43CD-B211-8650E0A27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9168" y="8675427"/>
          <a:ext cx="7601048" cy="4453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306238</xdr:colOff>
      <xdr:row>10</xdr:row>
      <xdr:rowOff>17252</xdr:rowOff>
    </xdr:from>
    <xdr:to>
      <xdr:col>16</xdr:col>
      <xdr:colOff>530525</xdr:colOff>
      <xdr:row>25</xdr:row>
      <xdr:rowOff>43131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1EDC70-02DD-4933-8A6C-D55DC5AB5F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431321</xdr:colOff>
      <xdr:row>0</xdr:row>
      <xdr:rowOff>112144</xdr:rowOff>
    </xdr:from>
    <xdr:to>
      <xdr:col>20</xdr:col>
      <xdr:colOff>163902</xdr:colOff>
      <xdr:row>132</xdr:row>
      <xdr:rowOff>150962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16FAD4-6859-4BB2-BCCA-1EF639522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2846" y="112144"/>
          <a:ext cx="5322498" cy="239512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olarsystemscope.com/" TargetMode="External"/><Relationship Id="rId3" Type="http://schemas.openxmlformats.org/officeDocument/2006/relationships/hyperlink" Target="https://www.markdownguide.org/basic-syntax/" TargetMode="External"/><Relationship Id="rId7" Type="http://schemas.openxmlformats.org/officeDocument/2006/relationships/hyperlink" Target="https://solarstory.net/" TargetMode="External"/><Relationship Id="rId2" Type="http://schemas.openxmlformats.org/officeDocument/2006/relationships/hyperlink" Target="https://en.wikipedia.org/wiki/List_of_Solar_System_objects_by_size" TargetMode="External"/><Relationship Id="rId1" Type="http://schemas.openxmlformats.org/officeDocument/2006/relationships/hyperlink" Target="https://academic.oup.com/mnras/article/343/3/978/1125459?login=false" TargetMode="External"/><Relationship Id="rId6" Type="http://schemas.openxmlformats.org/officeDocument/2006/relationships/hyperlink" Target="https://tabletomarkdown.com/" TargetMode="External"/><Relationship Id="rId5" Type="http://schemas.openxmlformats.org/officeDocument/2006/relationships/hyperlink" Target="https://currencies4less.com/all-about-the-star-wars-currency-your-questions-answered/" TargetMode="External"/><Relationship Id="rId4" Type="http://schemas.openxmlformats.org/officeDocument/2006/relationships/hyperlink" Target="https://semver.org/lang/id/" TargetMode="External"/><Relationship Id="rId9" Type="http://schemas.openxmlformats.org/officeDocument/2006/relationships/hyperlink" Target="https://blackmagictocontrol.com/what-is-the-term-for-the-study-of-magic.html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theskylive.com/sky/deepsky/ngc253-sculptor-filament-object" TargetMode="External"/><Relationship Id="rId2" Type="http://schemas.openxmlformats.org/officeDocument/2006/relationships/hyperlink" Target="https://www.youtube.com/@Spacedock" TargetMode="External"/><Relationship Id="rId1" Type="http://schemas.openxmlformats.org/officeDocument/2006/relationships/hyperlink" Target="https://www.youtube.com/@TemplinInstitute" TargetMode="External"/><Relationship Id="rId4" Type="http://schemas.openxmlformats.org/officeDocument/2006/relationships/hyperlink" Target="https://en.wikipedia.org/wiki/Sculptor_Galaxy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alactic-contention.fandom.com/wiki/LAAT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D0627-EAD7-4AA1-8C29-534C9033AC76}">
  <sheetPr>
    <tabColor rgb="FFFF0000"/>
  </sheetPr>
  <dimension ref="A1:D22"/>
  <sheetViews>
    <sheetView showGridLines="0" zoomScale="85" zoomScaleNormal="85" workbookViewId="0">
      <selection activeCell="L26" sqref="L26"/>
    </sheetView>
  </sheetViews>
  <sheetFormatPr defaultColWidth="12.875" defaultRowHeight="36.700000000000003" customHeight="1"/>
  <cols>
    <col min="1" max="1" width="12.875" style="71"/>
    <col min="2" max="2" width="15.375" style="71" customWidth="1"/>
    <col min="3" max="16384" width="12.875" style="71"/>
  </cols>
  <sheetData>
    <row r="1" spans="1:4" ht="36.700000000000003" customHeight="1">
      <c r="A1" s="71" t="s">
        <v>179</v>
      </c>
    </row>
    <row r="2" spans="1:4" ht="36.700000000000003" customHeight="1">
      <c r="A2" s="89" t="s">
        <v>222</v>
      </c>
    </row>
    <row r="3" spans="1:4" ht="14.3"/>
    <row r="4" spans="1:4" ht="36.700000000000003" customHeight="1">
      <c r="A4" s="71" t="s">
        <v>180</v>
      </c>
      <c r="B4" s="71" t="s">
        <v>181</v>
      </c>
      <c r="D4" s="71" t="s">
        <v>182</v>
      </c>
    </row>
    <row r="5" spans="1:4" ht="14.3"/>
    <row r="6" spans="1:4" ht="14.3"/>
    <row r="7" spans="1:4" ht="28.55">
      <c r="A7" s="72" t="s">
        <v>183</v>
      </c>
      <c r="B7" s="168" t="s">
        <v>184</v>
      </c>
      <c r="C7" s="73" t="s">
        <v>185</v>
      </c>
      <c r="D7" s="73" t="s">
        <v>186</v>
      </c>
    </row>
    <row r="8" spans="1:4" ht="14.3">
      <c r="B8" s="168"/>
      <c r="C8" s="71" t="s">
        <v>121</v>
      </c>
      <c r="D8" s="71" t="s">
        <v>187</v>
      </c>
    </row>
    <row r="9" spans="1:4" ht="14.3">
      <c r="B9" s="168"/>
    </row>
    <row r="10" spans="1:4" ht="14.3">
      <c r="B10" s="168"/>
    </row>
    <row r="11" spans="1:4" ht="14.3"/>
    <row r="12" spans="1:4" ht="36.700000000000003" customHeight="1">
      <c r="B12" s="168" t="s">
        <v>188</v>
      </c>
      <c r="C12" s="73" t="s">
        <v>185</v>
      </c>
      <c r="D12" s="73" t="s">
        <v>186</v>
      </c>
    </row>
    <row r="13" spans="1:4" ht="14.3">
      <c r="B13" s="168"/>
      <c r="C13" s="71" t="s">
        <v>170</v>
      </c>
      <c r="D13" s="71" t="s">
        <v>189</v>
      </c>
    </row>
    <row r="14" spans="1:4" ht="14.3">
      <c r="B14" s="168"/>
      <c r="C14" s="71" t="s">
        <v>171</v>
      </c>
      <c r="D14" s="71" t="s">
        <v>189</v>
      </c>
    </row>
    <row r="15" spans="1:4" ht="14.3">
      <c r="B15" s="168"/>
      <c r="C15" s="71" t="s">
        <v>169</v>
      </c>
      <c r="D15" s="71" t="s">
        <v>187</v>
      </c>
    </row>
    <row r="16" spans="1:4" ht="14.3"/>
    <row r="17" spans="1:3" ht="14.3"/>
    <row r="18" spans="1:3" ht="14.3"/>
    <row r="19" spans="1:3" ht="14.3"/>
    <row r="20" spans="1:3" ht="14.3">
      <c r="A20" s="71" t="s">
        <v>190</v>
      </c>
      <c r="B20" s="71" t="s">
        <v>191</v>
      </c>
    </row>
    <row r="21" spans="1:3" ht="14.3"/>
    <row r="22" spans="1:3" ht="85.6">
      <c r="B22" s="72" t="s">
        <v>192</v>
      </c>
      <c r="C22" s="72" t="s">
        <v>193</v>
      </c>
    </row>
  </sheetData>
  <mergeCells count="2">
    <mergeCell ref="B7:B10"/>
    <mergeCell ref="B12:B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759E3-2A3D-418D-A7CA-DBBDCBD88A8A}">
  <dimension ref="A1:C15"/>
  <sheetViews>
    <sheetView workbookViewId="0">
      <selection activeCell="G23" sqref="G23"/>
    </sheetView>
  </sheetViews>
  <sheetFormatPr defaultRowHeight="14.3"/>
  <sheetData>
    <row r="1" spans="1:3">
      <c r="A1" t="s">
        <v>5</v>
      </c>
      <c r="B1" t="s">
        <v>487</v>
      </c>
      <c r="C1" t="s">
        <v>485</v>
      </c>
    </row>
    <row r="2" spans="1:3">
      <c r="B2" t="s">
        <v>497</v>
      </c>
      <c r="C2" s="88" t="s">
        <v>498</v>
      </c>
    </row>
    <row r="3" spans="1:3">
      <c r="C3" s="88" t="s">
        <v>499</v>
      </c>
    </row>
    <row r="4" spans="1:3">
      <c r="C4" s="103" t="s">
        <v>500</v>
      </c>
    </row>
    <row r="5" spans="1:3">
      <c r="C5" s="103" t="s">
        <v>501</v>
      </c>
    </row>
    <row r="6" spans="1:3">
      <c r="B6" t="s">
        <v>106</v>
      </c>
      <c r="C6" s="103" t="s">
        <v>486</v>
      </c>
    </row>
    <row r="7" spans="1:3">
      <c r="B7" t="s">
        <v>488</v>
      </c>
      <c r="C7" s="103" t="s">
        <v>489</v>
      </c>
    </row>
    <row r="8" spans="1:3">
      <c r="C8" s="103" t="s">
        <v>490</v>
      </c>
    </row>
    <row r="9" spans="1:3">
      <c r="C9" s="103" t="s">
        <v>491</v>
      </c>
    </row>
    <row r="10" spans="1:3">
      <c r="B10" t="s">
        <v>492</v>
      </c>
      <c r="C10" s="88" t="s">
        <v>493</v>
      </c>
    </row>
    <row r="11" spans="1:3">
      <c r="C11" s="88" t="s">
        <v>494</v>
      </c>
    </row>
    <row r="12" spans="1:3">
      <c r="B12" t="s">
        <v>495</v>
      </c>
      <c r="C12" s="88" t="s">
        <v>496</v>
      </c>
    </row>
    <row r="14" spans="1:3">
      <c r="B14" t="s">
        <v>503</v>
      </c>
      <c r="C14" s="103" t="s">
        <v>504</v>
      </c>
    </row>
    <row r="15" spans="1:3">
      <c r="C15" s="88" t="s">
        <v>505</v>
      </c>
    </row>
  </sheetData>
  <hyperlinks>
    <hyperlink ref="C6" location="'Military Units'!A1" display="'Military Units'!A1" xr:uid="{6B0FE003-5A3F-4E89-8122-1CD1611AC3B5}"/>
    <hyperlink ref="C7" location="'Ship Classification'!A1" display="'Ship Classification'!A1" xr:uid="{D0ABFD3D-BB5B-4D6E-BD5E-CC96AA7F07C7}"/>
    <hyperlink ref="C8" location="'Ship Naming'!A1" display="'Ship Naming'!A1" xr:uid="{110650B3-E039-4F15-BB13-7DDC430923C8}"/>
    <hyperlink ref="C9" location="'Non-Space Transportation'!A1" display="'Non-Space Transportation'!A1" xr:uid="{3FB3848B-BADB-4AE0-A438-ED41715E9E73}"/>
    <hyperlink ref="C10" location="Galaxy!A1" display="Galaxy!A1" xr:uid="{6AB5265E-F4E3-4DB5-B878-867115C80D4F}"/>
    <hyperlink ref="C11" location="Planets!A1" display="Planets!A1" xr:uid="{B0A377CE-F187-4196-BAB4-060D6C49C40C}"/>
    <hyperlink ref="C12" location="Goverments!A1" display="Goverments!A1" xr:uid="{33995987-9063-4982-8515-B549552226E4}"/>
    <hyperlink ref="C2" location="Reference!A1" display="Reference!A1" xr:uid="{75CA45C7-3906-4DA8-82D1-C360ADBE65E9}"/>
    <hyperlink ref="C3" location="Changelogs!A1" display="Changelogs!A1" xr:uid="{E8B83100-8826-43B0-8CDE-98B314A4F7FC}"/>
    <hyperlink ref="C4" location="'Quotes from Co'!A1" display="'Quotes from Co'!A1" xr:uid="{8261DBB0-E24E-40AC-AA98-334E3EA8E3A8}"/>
    <hyperlink ref="C5" location="Idea!A1" display="Idea (2)'!A1" xr:uid="{A3CC3E69-DF77-406A-BCC4-4A375BC38985}"/>
    <hyperlink ref="C14" location="'Planet Scale Example'!A1" display="'Planet Scale Example'!A1" xr:uid="{DCEF4F93-99F4-41E9-96E2-E5005ADD2119}"/>
    <hyperlink ref="C15" location="Values!A1" display="Values!A1" xr:uid="{6E391980-ED1E-4113-A4EF-28964A0BAE0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11924-3C31-4D8E-A9D1-9AB0A4003816}">
  <dimension ref="A1:AE16"/>
  <sheetViews>
    <sheetView zoomScale="94" zoomScaleNormal="94" workbookViewId="0">
      <selection sqref="A1:Y8"/>
    </sheetView>
  </sheetViews>
  <sheetFormatPr defaultRowHeight="14.3"/>
  <cols>
    <col min="2" max="19" width="1.875" bestFit="1" customWidth="1"/>
    <col min="20" max="20" width="2.5" bestFit="1" customWidth="1"/>
    <col min="21" max="31" width="1.875" bestFit="1" customWidth="1"/>
  </cols>
  <sheetData>
    <row r="1" spans="1:31">
      <c r="A1" t="s">
        <v>49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</row>
    <row r="2" spans="1:31">
      <c r="A2" t="s">
        <v>266</v>
      </c>
      <c r="B2">
        <v>7</v>
      </c>
      <c r="C2">
        <v>7</v>
      </c>
      <c r="D2">
        <v>7</v>
      </c>
      <c r="E2">
        <v>7</v>
      </c>
      <c r="F2">
        <v>7</v>
      </c>
      <c r="G2">
        <v>7</v>
      </c>
      <c r="H2">
        <v>7</v>
      </c>
      <c r="I2">
        <v>7</v>
      </c>
      <c r="J2">
        <v>7</v>
      </c>
      <c r="K2">
        <v>7</v>
      </c>
      <c r="L2">
        <v>7</v>
      </c>
      <c r="M2">
        <v>7</v>
      </c>
      <c r="N2">
        <v>7</v>
      </c>
      <c r="O2">
        <v>7</v>
      </c>
      <c r="P2">
        <v>7</v>
      </c>
      <c r="Q2">
        <v>7</v>
      </c>
      <c r="R2">
        <v>7</v>
      </c>
      <c r="S2">
        <v>7</v>
      </c>
      <c r="T2">
        <v>7</v>
      </c>
      <c r="U2">
        <v>7</v>
      </c>
      <c r="V2">
        <v>7</v>
      </c>
      <c r="W2">
        <v>7</v>
      </c>
      <c r="X2">
        <v>7</v>
      </c>
      <c r="Y2">
        <v>7</v>
      </c>
      <c r="Z2">
        <v>7</v>
      </c>
      <c r="AA2">
        <v>7</v>
      </c>
      <c r="AB2">
        <v>7</v>
      </c>
      <c r="AC2">
        <v>7</v>
      </c>
      <c r="AD2">
        <v>7</v>
      </c>
      <c r="AE2">
        <v>7</v>
      </c>
    </row>
    <row r="3" spans="1:31">
      <c r="A3" t="s">
        <v>462</v>
      </c>
      <c r="B3">
        <v>6</v>
      </c>
      <c r="C3">
        <v>6</v>
      </c>
      <c r="D3">
        <v>6</v>
      </c>
      <c r="E3">
        <v>6</v>
      </c>
      <c r="F3">
        <v>6</v>
      </c>
      <c r="G3">
        <v>6</v>
      </c>
      <c r="H3">
        <v>6</v>
      </c>
      <c r="I3">
        <v>6</v>
      </c>
      <c r="J3">
        <v>6</v>
      </c>
      <c r="K3">
        <v>6</v>
      </c>
      <c r="L3">
        <v>6</v>
      </c>
      <c r="M3">
        <v>6</v>
      </c>
      <c r="N3">
        <v>6</v>
      </c>
      <c r="O3">
        <v>6</v>
      </c>
      <c r="P3">
        <v>6</v>
      </c>
      <c r="Q3">
        <v>6</v>
      </c>
      <c r="R3">
        <v>6</v>
      </c>
      <c r="S3">
        <v>6</v>
      </c>
      <c r="T3">
        <v>6</v>
      </c>
      <c r="U3">
        <v>6</v>
      </c>
      <c r="V3">
        <v>6</v>
      </c>
      <c r="W3">
        <v>6</v>
      </c>
      <c r="X3">
        <v>6</v>
      </c>
      <c r="Y3">
        <v>6</v>
      </c>
      <c r="Z3">
        <v>6</v>
      </c>
      <c r="AA3">
        <v>6</v>
      </c>
      <c r="AB3">
        <v>6</v>
      </c>
      <c r="AC3">
        <v>6</v>
      </c>
      <c r="AD3">
        <v>6</v>
      </c>
      <c r="AE3">
        <v>6</v>
      </c>
    </row>
    <row r="4" spans="1:31">
      <c r="A4" t="s">
        <v>265</v>
      </c>
      <c r="B4">
        <v>5</v>
      </c>
      <c r="C4">
        <v>5</v>
      </c>
      <c r="D4">
        <v>5</v>
      </c>
      <c r="E4">
        <v>5</v>
      </c>
      <c r="F4">
        <v>5</v>
      </c>
      <c r="G4">
        <v>5</v>
      </c>
      <c r="H4">
        <v>5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</row>
    <row r="5" spans="1:31">
      <c r="A5" t="s">
        <v>463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3</v>
      </c>
      <c r="AA5">
        <v>3</v>
      </c>
      <c r="AB5">
        <v>3</v>
      </c>
      <c r="AC5">
        <v>3</v>
      </c>
      <c r="AD5">
        <v>3</v>
      </c>
      <c r="AE5">
        <v>3</v>
      </c>
    </row>
    <row r="6" spans="1:31">
      <c r="A6" t="s">
        <v>263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T6">
        <v>2</v>
      </c>
      <c r="U6">
        <v>2</v>
      </c>
      <c r="V6">
        <v>2</v>
      </c>
      <c r="W6">
        <v>2</v>
      </c>
      <c r="X6">
        <v>2</v>
      </c>
      <c r="Y6">
        <v>2</v>
      </c>
      <c r="Z6">
        <v>2</v>
      </c>
      <c r="AA6">
        <v>2</v>
      </c>
      <c r="AB6">
        <v>2</v>
      </c>
      <c r="AC6">
        <v>2</v>
      </c>
      <c r="AD6">
        <v>2</v>
      </c>
      <c r="AE6">
        <v>2</v>
      </c>
    </row>
    <row r="7" spans="1:31">
      <c r="A7" t="s">
        <v>259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>
      <c r="A8" t="s">
        <v>264</v>
      </c>
    </row>
    <row r="15" spans="1:31">
      <c r="A15" t="s">
        <v>946</v>
      </c>
    </row>
    <row r="16" spans="1:31">
      <c r="A16" t="s">
        <v>947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98698-5246-418D-BBD1-88D82AC003C8}">
  <dimension ref="A1:L10"/>
  <sheetViews>
    <sheetView workbookViewId="0">
      <selection activeCell="L9" sqref="L9"/>
    </sheetView>
  </sheetViews>
  <sheetFormatPr defaultRowHeight="14.3"/>
  <sheetData>
    <row r="1" spans="1:12">
      <c r="A1" t="s">
        <v>6</v>
      </c>
      <c r="C1" t="s">
        <v>221</v>
      </c>
      <c r="D1" t="s">
        <v>221</v>
      </c>
      <c r="E1" t="s">
        <v>217</v>
      </c>
      <c r="F1" t="s">
        <v>217</v>
      </c>
      <c r="G1" t="s">
        <v>218</v>
      </c>
      <c r="H1" t="s">
        <v>218</v>
      </c>
      <c r="I1" t="s">
        <v>219</v>
      </c>
      <c r="J1" t="s">
        <v>219</v>
      </c>
      <c r="K1" t="s">
        <v>220</v>
      </c>
      <c r="L1" t="s">
        <v>220</v>
      </c>
    </row>
    <row r="2" spans="1:12">
      <c r="A2" t="s">
        <v>214</v>
      </c>
      <c r="E2" s="88" t="s">
        <v>224</v>
      </c>
      <c r="I2" s="88" t="s">
        <v>1139</v>
      </c>
      <c r="J2" s="88" t="s">
        <v>1166</v>
      </c>
    </row>
    <row r="3" spans="1:12">
      <c r="A3" t="s">
        <v>432</v>
      </c>
      <c r="K3" s="88" t="s">
        <v>433</v>
      </c>
    </row>
    <row r="4" spans="1:12">
      <c r="A4" t="s">
        <v>467</v>
      </c>
      <c r="J4" s="88" t="s">
        <v>468</v>
      </c>
      <c r="K4" s="88" t="s">
        <v>893</v>
      </c>
    </row>
    <row r="5" spans="1:12">
      <c r="A5" t="s">
        <v>472</v>
      </c>
      <c r="J5" s="88" t="s">
        <v>473</v>
      </c>
    </row>
    <row r="6" spans="1:12">
      <c r="A6" t="s">
        <v>795</v>
      </c>
      <c r="L6" s="88" t="s">
        <v>796</v>
      </c>
    </row>
    <row r="7" spans="1:12">
      <c r="A7" t="s">
        <v>1138</v>
      </c>
    </row>
    <row r="9" spans="1:12">
      <c r="J9">
        <f>2015-2018</f>
        <v>-3</v>
      </c>
      <c r="L9" s="88" t="s">
        <v>1171</v>
      </c>
    </row>
    <row r="10" spans="1:12">
      <c r="J10">
        <f>2025-2018</f>
        <v>7</v>
      </c>
    </row>
  </sheetData>
  <hyperlinks>
    <hyperlink ref="E2" r:id="rId1" display="https://academic.oup.com/mnras/article/343/3/978/1125459?login=false" xr:uid="{B8ED0A0C-BA96-48C4-BCBB-715059EB3C26}"/>
    <hyperlink ref="K3" r:id="rId2" location="See_also" display="https://en.wikipedia.org/wiki/List_of_Solar_System_objects_by_size - See_also" xr:uid="{422753B2-A820-4B67-8EEF-31DF26B7528D}"/>
    <hyperlink ref="J4" r:id="rId3" location="bold" display="https://www.markdownguide.org/basic-syntax/ - bold" xr:uid="{23586D90-4E8D-4F40-88F8-D71001F3AEFC}"/>
    <hyperlink ref="J5" r:id="rId4" display="https://semver.org/lang/id/" xr:uid="{AA5298C9-F436-45E6-AE38-0D829D3E7623}"/>
    <hyperlink ref="L6" r:id="rId5" display="https://currencies4less.com/all-about-the-star-wars-currency-your-questions-answered/" xr:uid="{D1411AA8-18F1-47FF-9FF0-43D8284E6BED}"/>
    <hyperlink ref="K4" r:id="rId6" display="https://tabletomarkdown.com/" xr:uid="{0F5CB75B-0343-439E-AF5A-592B7715C88A}"/>
    <hyperlink ref="I2" r:id="rId7" display="https://solarstory.net/" xr:uid="{D3CF7316-DBD3-45EC-A9B2-7DFF9325F2A5}"/>
    <hyperlink ref="J2" r:id="rId8" display="https://www.solarsystemscope.com/" xr:uid="{4B54C083-8318-40F3-B2CC-30512F6615B7}"/>
    <hyperlink ref="L9" r:id="rId9" display="https://blackmagictocontrol.com/what-is-the-term-for-the-study-of-magic.html" xr:uid="{EA229840-65EB-4B5B-A3EA-E383C942F49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2D174-E828-495F-9F57-5ABE5CC81323}">
  <dimension ref="A1:T27"/>
  <sheetViews>
    <sheetView topLeftCell="B1" zoomScale="88" zoomScaleNormal="85" workbookViewId="0">
      <pane xSplit="12" ySplit="1" topLeftCell="N2" activePane="bottomRight" state="frozen"/>
      <selection activeCell="B1" sqref="B1"/>
      <selection pane="topRight" activeCell="N1" sqref="N1"/>
      <selection pane="bottomLeft" activeCell="B2" sqref="B2"/>
      <selection pane="bottomRight" activeCell="L2" sqref="L2"/>
    </sheetView>
  </sheetViews>
  <sheetFormatPr defaultRowHeight="14.3"/>
  <cols>
    <col min="1" max="1" width="9" style="106"/>
    <col min="2" max="2" width="18" style="106" bestFit="1" customWidth="1"/>
    <col min="3" max="5" width="9" style="106"/>
    <col min="6" max="6" width="0" style="109" hidden="1" customWidth="1"/>
    <col min="7" max="9" width="0" style="106" hidden="1" customWidth="1"/>
    <col min="10" max="11" width="11" style="106" hidden="1" customWidth="1"/>
    <col min="12" max="12" width="0.875" bestFit="1" customWidth="1"/>
    <col min="13" max="13" width="18.875" style="114" bestFit="1" customWidth="1"/>
    <col min="14" max="18" width="13" style="64" customWidth="1"/>
  </cols>
  <sheetData>
    <row r="1" spans="1:20" s="64" customFormat="1" ht="71.349999999999994">
      <c r="A1" s="105"/>
      <c r="B1" s="105" t="s">
        <v>211</v>
      </c>
      <c r="C1" s="105" t="s">
        <v>1175</v>
      </c>
      <c r="D1" s="105" t="s">
        <v>1174</v>
      </c>
      <c r="E1" s="64" t="s">
        <v>1176</v>
      </c>
      <c r="F1" s="108" t="s">
        <v>196</v>
      </c>
      <c r="G1" s="105" t="s">
        <v>814</v>
      </c>
      <c r="H1" s="105"/>
      <c r="I1" s="105"/>
      <c r="J1" s="105" t="s">
        <v>906</v>
      </c>
      <c r="K1" s="105"/>
      <c r="L1" s="64" t="s">
        <v>92</v>
      </c>
      <c r="M1" s="114" t="s">
        <v>907</v>
      </c>
      <c r="N1" s="64" t="s">
        <v>194</v>
      </c>
      <c r="O1" s="64" t="s">
        <v>197</v>
      </c>
      <c r="P1" s="64" t="s">
        <v>1177</v>
      </c>
      <c r="Q1" s="64" t="s">
        <v>198</v>
      </c>
      <c r="R1" s="64" t="s">
        <v>195</v>
      </c>
      <c r="S1" s="64" t="s">
        <v>1178</v>
      </c>
      <c r="T1" s="64" t="s">
        <v>1173</v>
      </c>
    </row>
    <row r="2" spans="1:20" s="64" customFormat="1">
      <c r="A2" s="105"/>
      <c r="B2" s="105"/>
      <c r="C2" s="107">
        <v>4</v>
      </c>
      <c r="D2" s="105">
        <v>3</v>
      </c>
      <c r="E2" s="105">
        <v>4</v>
      </c>
      <c r="F2" s="109" t="str">
        <f t="shared" ref="F2:F4" si="0">$C2&amp;"."&amp;$D2&amp;"."&amp;$E2</f>
        <v>4.3.4</v>
      </c>
      <c r="G2" s="105"/>
      <c r="H2" s="105"/>
      <c r="I2" s="105"/>
      <c r="J2" s="105"/>
      <c r="K2" s="105"/>
      <c r="M2" s="109" t="str">
        <f t="shared" ref="M2:M26" si="1">$C2&amp;"."&amp;$D2&amp;"."&amp;$E2&amp; IF($G2&lt;&gt;"","-"&amp;$G2 &amp;"."&amp;$H2,)&amp; IF($J2&lt;&gt;"","+"&amp;$J2&amp;"."&amp;$K2,)</f>
        <v>4.3.4</v>
      </c>
    </row>
    <row r="3" spans="1:20" s="64" customFormat="1" ht="71.349999999999994">
      <c r="A3" s="105"/>
      <c r="B3" s="105"/>
      <c r="C3" s="107">
        <v>4</v>
      </c>
      <c r="D3" s="105">
        <v>3</v>
      </c>
      <c r="E3" s="105">
        <v>3</v>
      </c>
      <c r="F3" s="109" t="str">
        <f t="shared" si="0"/>
        <v>4.3.3</v>
      </c>
      <c r="G3" s="105"/>
      <c r="H3" s="105"/>
      <c r="I3" s="105"/>
      <c r="J3" s="105"/>
      <c r="K3" s="105"/>
      <c r="M3" s="109" t="str">
        <f t="shared" si="1"/>
        <v>4.3.3</v>
      </c>
      <c r="O3" s="64" t="s">
        <v>1203</v>
      </c>
      <c r="Q3" s="64" t="s">
        <v>1202</v>
      </c>
    </row>
    <row r="4" spans="1:20" s="64" customFormat="1">
      <c r="A4" s="105"/>
      <c r="B4" s="105"/>
      <c r="C4" s="107">
        <v>4</v>
      </c>
      <c r="D4" s="105">
        <v>3</v>
      </c>
      <c r="E4" s="105">
        <v>2</v>
      </c>
      <c r="F4" s="109" t="str">
        <f t="shared" si="0"/>
        <v>4.3.2</v>
      </c>
      <c r="G4" s="105"/>
      <c r="H4" s="105"/>
      <c r="I4" s="105"/>
      <c r="J4" s="105"/>
      <c r="K4" s="105"/>
      <c r="M4" s="109" t="str">
        <f t="shared" si="1"/>
        <v>4.3.2</v>
      </c>
    </row>
    <row r="5" spans="1:20" s="64" customFormat="1">
      <c r="A5" s="105"/>
      <c r="B5" s="105"/>
      <c r="C5" s="107">
        <v>4</v>
      </c>
      <c r="D5" s="105">
        <v>3</v>
      </c>
      <c r="E5" s="105">
        <v>1</v>
      </c>
      <c r="F5" s="109" t="str">
        <f t="shared" ref="F5:F27" si="2">$C5&amp;"."&amp;$D5&amp;"."&amp;$E5</f>
        <v>4.3.1</v>
      </c>
      <c r="G5" s="105"/>
      <c r="H5" s="105"/>
      <c r="I5" s="105"/>
      <c r="J5" s="105"/>
      <c r="K5" s="105"/>
      <c r="M5" s="109" t="str">
        <f t="shared" si="1"/>
        <v>4.3.1</v>
      </c>
    </row>
    <row r="6" spans="1:20" s="64" customFormat="1">
      <c r="A6" s="105"/>
      <c r="B6" s="105" t="s">
        <v>1172</v>
      </c>
      <c r="C6" s="107">
        <v>4</v>
      </c>
      <c r="D6" s="107">
        <v>3</v>
      </c>
      <c r="E6" s="105">
        <v>0</v>
      </c>
      <c r="F6" s="109" t="str">
        <f t="shared" si="2"/>
        <v>4.3.0</v>
      </c>
      <c r="G6" s="105"/>
      <c r="H6" s="105"/>
      <c r="I6" s="105"/>
      <c r="J6" s="105"/>
      <c r="K6" s="105"/>
      <c r="M6" s="109" t="str">
        <f t="shared" si="1"/>
        <v>4.3.0</v>
      </c>
      <c r="O6" s="64" t="s">
        <v>1153</v>
      </c>
    </row>
    <row r="7" spans="1:20">
      <c r="C7" s="107">
        <v>4</v>
      </c>
      <c r="D7" s="107">
        <v>2</v>
      </c>
      <c r="E7" s="107">
        <v>8</v>
      </c>
      <c r="F7" s="109" t="str">
        <f t="shared" si="2"/>
        <v>4.2.8</v>
      </c>
      <c r="M7" s="109" t="str">
        <f t="shared" si="1"/>
        <v>4.2.8</v>
      </c>
    </row>
    <row r="8" spans="1:20">
      <c r="C8" s="107">
        <v>4</v>
      </c>
      <c r="D8" s="107">
        <v>2</v>
      </c>
      <c r="E8" s="107">
        <v>7</v>
      </c>
      <c r="F8" s="109" t="str">
        <f t="shared" si="2"/>
        <v>4.2.7</v>
      </c>
      <c r="M8" s="109" t="str">
        <f t="shared" si="1"/>
        <v>4.2.7</v>
      </c>
    </row>
    <row r="9" spans="1:20" ht="71.349999999999994">
      <c r="C9" s="107">
        <v>4</v>
      </c>
      <c r="D9" s="107">
        <v>2</v>
      </c>
      <c r="E9" s="107">
        <v>6</v>
      </c>
      <c r="F9" s="109" t="str">
        <f t="shared" si="2"/>
        <v>4.2.6</v>
      </c>
      <c r="M9" s="109" t="str">
        <f t="shared" si="1"/>
        <v>4.2.6</v>
      </c>
      <c r="Q9" s="64" t="s">
        <v>1128</v>
      </c>
    </row>
    <row r="10" spans="1:20" ht="42.8">
      <c r="C10" s="107">
        <v>4</v>
      </c>
      <c r="D10" s="107">
        <v>2</v>
      </c>
      <c r="E10" s="107">
        <v>5</v>
      </c>
      <c r="F10" s="109" t="str">
        <f t="shared" si="2"/>
        <v>4.2.5</v>
      </c>
      <c r="M10" s="109" t="str">
        <f t="shared" si="1"/>
        <v>4.2.5</v>
      </c>
      <c r="O10" s="64" t="s">
        <v>981</v>
      </c>
    </row>
    <row r="11" spans="1:20" ht="42.8">
      <c r="C11" s="107">
        <v>4</v>
      </c>
      <c r="D11" s="107">
        <v>2</v>
      </c>
      <c r="E11" s="107">
        <v>4</v>
      </c>
      <c r="F11" s="109" t="str">
        <f t="shared" si="2"/>
        <v>4.2.4</v>
      </c>
      <c r="M11" s="109" t="str">
        <f t="shared" si="1"/>
        <v>4.2.4</v>
      </c>
      <c r="R11" s="64" t="s">
        <v>950</v>
      </c>
    </row>
    <row r="12" spans="1:20" ht="114.15">
      <c r="C12" s="107">
        <v>4</v>
      </c>
      <c r="D12" s="107">
        <v>2</v>
      </c>
      <c r="E12" s="107">
        <v>3</v>
      </c>
      <c r="F12" s="109" t="str">
        <f t="shared" si="2"/>
        <v>4.2.3</v>
      </c>
      <c r="M12" s="109" t="str">
        <f t="shared" si="1"/>
        <v>4.2.3</v>
      </c>
      <c r="N12" s="64" t="s">
        <v>926</v>
      </c>
      <c r="O12" s="64" t="s">
        <v>938</v>
      </c>
    </row>
    <row r="13" spans="1:20" ht="85.6">
      <c r="C13" s="107">
        <v>4</v>
      </c>
      <c r="D13" s="107">
        <v>2</v>
      </c>
      <c r="E13" s="107">
        <v>2</v>
      </c>
      <c r="F13" s="109" t="str">
        <f t="shared" si="2"/>
        <v>4.2.2</v>
      </c>
      <c r="M13" s="109" t="str">
        <f t="shared" si="1"/>
        <v>4.2.2</v>
      </c>
      <c r="Q13" s="64" t="s">
        <v>908</v>
      </c>
      <c r="R13" s="64" t="s">
        <v>913</v>
      </c>
    </row>
    <row r="14" spans="1:20" ht="42.8">
      <c r="C14" s="107">
        <v>4</v>
      </c>
      <c r="D14" s="107">
        <v>2</v>
      </c>
      <c r="E14" s="107">
        <v>1</v>
      </c>
      <c r="F14" s="109" t="str">
        <f t="shared" si="2"/>
        <v>4.2.1</v>
      </c>
      <c r="M14" s="109" t="str">
        <f t="shared" si="1"/>
        <v>4.2.1</v>
      </c>
      <c r="R14" s="64" t="s">
        <v>905</v>
      </c>
    </row>
    <row r="15" spans="1:20">
      <c r="B15" s="106" t="s">
        <v>948</v>
      </c>
      <c r="C15" s="107">
        <v>4</v>
      </c>
      <c r="D15" s="107">
        <v>2</v>
      </c>
      <c r="E15" s="107">
        <v>0</v>
      </c>
      <c r="F15" s="109" t="str">
        <f t="shared" si="2"/>
        <v>4.2.0</v>
      </c>
      <c r="M15" s="109" t="str">
        <f t="shared" si="1"/>
        <v>4.2.0</v>
      </c>
    </row>
    <row r="16" spans="1:20" ht="28.55">
      <c r="C16" s="107">
        <v>4</v>
      </c>
      <c r="D16" s="107">
        <v>1</v>
      </c>
      <c r="E16" s="107">
        <v>3</v>
      </c>
      <c r="F16" s="109" t="str">
        <f t="shared" si="2"/>
        <v>4.1.3</v>
      </c>
      <c r="M16" s="109" t="str">
        <f t="shared" si="1"/>
        <v>4.1.3</v>
      </c>
      <c r="Q16" s="64" t="s">
        <v>894</v>
      </c>
    </row>
    <row r="17" spans="1:18" ht="142.65">
      <c r="C17" s="107">
        <v>4</v>
      </c>
      <c r="D17" s="107">
        <v>1</v>
      </c>
      <c r="E17" s="107">
        <v>2</v>
      </c>
      <c r="F17" s="109" t="str">
        <f t="shared" si="2"/>
        <v>4.1.2</v>
      </c>
      <c r="M17" s="109" t="str">
        <f t="shared" si="1"/>
        <v>4.1.2</v>
      </c>
      <c r="R17" s="64" t="s">
        <v>819</v>
      </c>
    </row>
    <row r="18" spans="1:18">
      <c r="C18" s="107">
        <v>4</v>
      </c>
      <c r="D18" s="107">
        <v>1</v>
      </c>
      <c r="E18" s="107">
        <v>1</v>
      </c>
      <c r="F18" s="109" t="str">
        <f t="shared" si="2"/>
        <v>4.1.1</v>
      </c>
      <c r="M18" s="109" t="str">
        <f t="shared" si="1"/>
        <v>4.1.1</v>
      </c>
    </row>
    <row r="19" spans="1:18" ht="42.8">
      <c r="B19" s="106" t="s">
        <v>809</v>
      </c>
      <c r="C19" s="107">
        <v>4</v>
      </c>
      <c r="D19" s="107">
        <v>1</v>
      </c>
      <c r="E19" s="107">
        <v>0</v>
      </c>
      <c r="F19" s="109" t="str">
        <f t="shared" si="2"/>
        <v>4.1.0</v>
      </c>
      <c r="M19" s="109" t="str">
        <f t="shared" si="1"/>
        <v>4.1.0</v>
      </c>
      <c r="N19" s="64" t="s">
        <v>813</v>
      </c>
    </row>
    <row r="20" spans="1:18" ht="28.55">
      <c r="C20" s="107">
        <v>4</v>
      </c>
      <c r="D20" s="107">
        <v>0</v>
      </c>
      <c r="E20" s="107">
        <v>2</v>
      </c>
      <c r="F20" s="109" t="str">
        <f t="shared" si="2"/>
        <v>4.0.2</v>
      </c>
      <c r="M20" s="109" t="str">
        <f t="shared" si="1"/>
        <v>4.0.2</v>
      </c>
      <c r="O20" s="64" t="s">
        <v>502</v>
      </c>
    </row>
    <row r="21" spans="1:18" ht="28.55">
      <c r="C21" s="107">
        <v>4</v>
      </c>
      <c r="D21" s="107">
        <v>0</v>
      </c>
      <c r="E21" s="107">
        <v>1</v>
      </c>
      <c r="F21" s="109" t="str">
        <f t="shared" si="2"/>
        <v>4.0.1</v>
      </c>
      <c r="M21" s="109" t="str">
        <f t="shared" si="1"/>
        <v>4.0.1</v>
      </c>
      <c r="O21" s="64" t="s">
        <v>428</v>
      </c>
      <c r="R21" s="64" t="s">
        <v>429</v>
      </c>
    </row>
    <row r="22" spans="1:18" ht="42.8">
      <c r="B22" s="106" t="s">
        <v>212</v>
      </c>
      <c r="C22" s="107">
        <v>4</v>
      </c>
      <c r="D22" s="107">
        <v>0</v>
      </c>
      <c r="E22" s="107">
        <v>0</v>
      </c>
      <c r="F22" s="109" t="str">
        <f t="shared" si="2"/>
        <v>4.0.0</v>
      </c>
      <c r="M22" s="109" t="str">
        <f t="shared" si="1"/>
        <v>4.0.0</v>
      </c>
      <c r="N22" s="64" t="s">
        <v>213</v>
      </c>
    </row>
    <row r="23" spans="1:18">
      <c r="C23" s="107">
        <v>3</v>
      </c>
      <c r="D23" s="107">
        <v>1</v>
      </c>
      <c r="E23" s="107">
        <v>0</v>
      </c>
      <c r="F23" s="109" t="str">
        <f t="shared" si="2"/>
        <v>3.1.0</v>
      </c>
      <c r="M23" s="109" t="str">
        <f t="shared" si="1"/>
        <v>3.1.0</v>
      </c>
    </row>
    <row r="24" spans="1:18">
      <c r="C24" s="107">
        <v>3</v>
      </c>
      <c r="D24" s="107">
        <v>0</v>
      </c>
      <c r="E24" s="107">
        <v>0</v>
      </c>
      <c r="F24" s="109" t="str">
        <f t="shared" si="2"/>
        <v>3.0.0</v>
      </c>
      <c r="M24" s="109" t="str">
        <f t="shared" si="1"/>
        <v>3.0.0</v>
      </c>
    </row>
    <row r="25" spans="1:18">
      <c r="C25" s="107">
        <v>2</v>
      </c>
      <c r="D25" s="107">
        <v>0</v>
      </c>
      <c r="E25" s="107">
        <v>0</v>
      </c>
      <c r="F25" s="109" t="str">
        <f t="shared" si="2"/>
        <v>2.0.0</v>
      </c>
      <c r="M25" s="109" t="str">
        <f t="shared" si="1"/>
        <v>2.0.0</v>
      </c>
    </row>
    <row r="26" spans="1:18">
      <c r="B26" s="106" t="s">
        <v>818</v>
      </c>
      <c r="C26" s="107">
        <v>1</v>
      </c>
      <c r="D26" s="107">
        <v>0</v>
      </c>
      <c r="E26" s="107">
        <v>0</v>
      </c>
      <c r="F26" s="109" t="str">
        <f t="shared" si="2"/>
        <v>1.0.0</v>
      </c>
      <c r="M26" s="109" t="str">
        <f t="shared" si="1"/>
        <v>1.0.0</v>
      </c>
    </row>
    <row r="27" spans="1:18">
      <c r="A27" s="106" t="s">
        <v>199</v>
      </c>
      <c r="F27" s="109" t="str">
        <f t="shared" si="2"/>
        <v>..</v>
      </c>
    </row>
  </sheetData>
  <autoFilter ref="A1:R1" xr:uid="{0352D174-E828-495F-9F57-5ABE5CC81323}">
    <sortState xmlns:xlrd2="http://schemas.microsoft.com/office/spreadsheetml/2017/richdata2" ref="A2:R21">
      <sortCondition descending="1" ref="A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EDDC6-7D47-4C98-8BE4-3E60D96D83F1}">
  <dimension ref="A1:C4"/>
  <sheetViews>
    <sheetView workbookViewId="0">
      <selection activeCell="C4" sqref="C4"/>
    </sheetView>
  </sheetViews>
  <sheetFormatPr defaultColWidth="36.25" defaultRowHeight="132.44999999999999" customHeight="1"/>
  <cols>
    <col min="1" max="1" width="4.625" style="64" bestFit="1" customWidth="1"/>
    <col min="2" max="16384" width="36.25" style="64"/>
  </cols>
  <sheetData>
    <row r="1" spans="1:3" ht="41.45" customHeight="1">
      <c r="A1" t="s">
        <v>177</v>
      </c>
      <c r="B1" t="s">
        <v>178</v>
      </c>
    </row>
    <row r="2" spans="1:3" ht="14.3">
      <c r="A2" s="64" t="s">
        <v>5</v>
      </c>
      <c r="B2" s="64" t="s">
        <v>134</v>
      </c>
    </row>
    <row r="3" spans="1:3" ht="132.44999999999999" customHeight="1">
      <c r="A3" s="64">
        <v>1</v>
      </c>
      <c r="B3" s="64" t="s">
        <v>131</v>
      </c>
      <c r="C3" s="64" t="s">
        <v>132</v>
      </c>
    </row>
    <row r="4" spans="1:3" ht="132.44999999999999" customHeight="1">
      <c r="B4" s="64" t="s">
        <v>430</v>
      </c>
      <c r="C4" s="64" t="s">
        <v>431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8E934-71DA-4CD7-A734-6569DAC853D0}">
  <dimension ref="A1:E69"/>
  <sheetViews>
    <sheetView topLeftCell="A39" workbookViewId="0">
      <selection activeCell="F69" sqref="F69"/>
    </sheetView>
  </sheetViews>
  <sheetFormatPr defaultRowHeight="16.3"/>
  <cols>
    <col min="1" max="3" width="9" style="70"/>
    <col min="4" max="4" width="27.875" style="70" customWidth="1"/>
    <col min="5" max="16384" width="9" style="70"/>
  </cols>
  <sheetData>
    <row r="1" spans="1:5">
      <c r="B1" s="70" t="s">
        <v>176</v>
      </c>
    </row>
    <row r="2" spans="1:5">
      <c r="A2" s="70" t="s">
        <v>140</v>
      </c>
      <c r="B2" s="70" t="s">
        <v>175</v>
      </c>
      <c r="C2" s="70" t="s">
        <v>225</v>
      </c>
      <c r="D2" s="70" t="s">
        <v>226</v>
      </c>
    </row>
    <row r="3" spans="1:5">
      <c r="D3" s="70" t="s">
        <v>227</v>
      </c>
    </row>
    <row r="4" spans="1:5">
      <c r="C4" s="70" t="s">
        <v>481</v>
      </c>
      <c r="D4" s="70" t="s">
        <v>479</v>
      </c>
    </row>
    <row r="5" spans="1:5">
      <c r="D5" s="70" t="s">
        <v>480</v>
      </c>
    </row>
    <row r="6" spans="1:5">
      <c r="C6" s="70" t="s">
        <v>482</v>
      </c>
      <c r="D6" s="70" t="s">
        <v>483</v>
      </c>
      <c r="E6" s="70" t="s">
        <v>484</v>
      </c>
    </row>
    <row r="9" spans="1:5">
      <c r="D9" s="110"/>
    </row>
    <row r="10" spans="1:5">
      <c r="B10" s="70" t="s">
        <v>174</v>
      </c>
      <c r="C10" s="70" t="s">
        <v>787</v>
      </c>
    </row>
    <row r="58" spans="2:5">
      <c r="C58" s="70" t="s">
        <v>861</v>
      </c>
      <c r="D58" s="70" t="s">
        <v>821</v>
      </c>
      <c r="E58" s="70" t="s">
        <v>860</v>
      </c>
    </row>
    <row r="59" spans="2:5">
      <c r="D59" s="70" t="s">
        <v>788</v>
      </c>
      <c r="E59" s="70" t="s">
        <v>835</v>
      </c>
    </row>
    <row r="60" spans="2:5">
      <c r="D60" s="70" t="s">
        <v>173</v>
      </c>
      <c r="E60" s="70" t="s">
        <v>862</v>
      </c>
    </row>
    <row r="62" spans="2:5">
      <c r="C62" s="70" t="s">
        <v>789</v>
      </c>
      <c r="D62" s="88" t="s">
        <v>790</v>
      </c>
    </row>
    <row r="63" spans="2:5">
      <c r="D63" s="88" t="s">
        <v>791</v>
      </c>
    </row>
    <row r="64" spans="2:5">
      <c r="B64" s="70" t="s">
        <v>214</v>
      </c>
      <c r="C64" s="70" t="s">
        <v>216</v>
      </c>
      <c r="D64" s="88" t="s">
        <v>215</v>
      </c>
      <c r="E64" s="90" t="s">
        <v>268</v>
      </c>
    </row>
    <row r="65" spans="2:4">
      <c r="D65" s="88" t="s">
        <v>223</v>
      </c>
    </row>
    <row r="67" spans="2:4">
      <c r="B67" s="70" t="s">
        <v>471</v>
      </c>
      <c r="C67" s="70" t="s">
        <v>478</v>
      </c>
    </row>
    <row r="68" spans="2:4">
      <c r="C68" s="70" t="s">
        <v>469</v>
      </c>
    </row>
    <row r="69" spans="2:4">
      <c r="C69" s="70" t="s">
        <v>470</v>
      </c>
    </row>
  </sheetData>
  <sortState xmlns:xlrd2="http://schemas.microsoft.com/office/spreadsheetml/2017/richdata2" ref="D11:E56">
    <sortCondition ref="D10:D56"/>
  </sortState>
  <hyperlinks>
    <hyperlink ref="D63" r:id="rId1" display="https://www.youtube.com/@TemplinInstitute" xr:uid="{D34C51B4-6529-40FD-B1CE-BAABA2F3A4FE}"/>
    <hyperlink ref="D62" r:id="rId2" display="https://www.youtube.com/@Spacedock" xr:uid="{722A6CCF-D6ED-4C2D-82D1-BCF6C5A257B6}"/>
    <hyperlink ref="D65" r:id="rId3" display="https://theskylive.com/sky/deepsky/ngc253-sculptor-filament-object" xr:uid="{35F1A24A-37D2-4F5C-BE2F-CBEAC6304915}"/>
    <hyperlink ref="D64" r:id="rId4" display="https://en.wikipedia.org/wiki/Sculptor_Galaxy" xr:uid="{722BE1A3-A7F4-4412-9B89-B67A1BABF163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4135-1213-40DD-99FA-F4F9C2EC481E}">
  <dimension ref="A1:F72"/>
  <sheetViews>
    <sheetView workbookViewId="0">
      <pane ySplit="1" topLeftCell="A56" activePane="bottomLeft" state="frozen"/>
      <selection pane="bottomLeft" activeCell="C81" sqref="C81"/>
    </sheetView>
  </sheetViews>
  <sheetFormatPr defaultRowHeight="14.3"/>
  <cols>
    <col min="2" max="2" width="27.625" bestFit="1" customWidth="1"/>
  </cols>
  <sheetData>
    <row r="1" spans="1:6">
      <c r="A1" t="s">
        <v>863</v>
      </c>
      <c r="B1" t="s">
        <v>49</v>
      </c>
      <c r="C1" t="s">
        <v>864</v>
      </c>
      <c r="D1" t="s">
        <v>73</v>
      </c>
      <c r="E1" t="s">
        <v>884</v>
      </c>
      <c r="F1" t="s">
        <v>881</v>
      </c>
    </row>
    <row r="2" spans="1:6" ht="16.3">
      <c r="A2">
        <v>1</v>
      </c>
      <c r="B2" s="111" t="s">
        <v>837</v>
      </c>
    </row>
    <row r="3" spans="1:6" ht="16.3">
      <c r="A3">
        <v>2</v>
      </c>
      <c r="B3" s="70" t="s">
        <v>836</v>
      </c>
    </row>
    <row r="4" spans="1:6" ht="16.3">
      <c r="A4">
        <v>3</v>
      </c>
      <c r="B4" s="70" t="s">
        <v>829</v>
      </c>
    </row>
    <row r="5" spans="1:6" ht="16.3">
      <c r="A5">
        <v>4</v>
      </c>
      <c r="B5" s="70" t="s">
        <v>822</v>
      </c>
      <c r="E5" t="s">
        <v>880</v>
      </c>
    </row>
    <row r="6" spans="1:6" ht="16.3">
      <c r="A6">
        <v>5</v>
      </c>
      <c r="B6" s="70" t="s">
        <v>853</v>
      </c>
    </row>
    <row r="7" spans="1:6" ht="16.3">
      <c r="A7">
        <v>6</v>
      </c>
      <c r="B7" s="70" t="s">
        <v>273</v>
      </c>
    </row>
    <row r="8" spans="1:6" ht="16.3">
      <c r="A8">
        <v>7</v>
      </c>
      <c r="B8" s="70" t="s">
        <v>858</v>
      </c>
    </row>
    <row r="9" spans="1:6" ht="16.3">
      <c r="A9">
        <v>8</v>
      </c>
      <c r="B9" s="70" t="s">
        <v>828</v>
      </c>
    </row>
    <row r="10" spans="1:6" ht="16.3">
      <c r="A10">
        <v>9</v>
      </c>
      <c r="B10" s="112" t="s">
        <v>866</v>
      </c>
      <c r="C10" t="s">
        <v>880</v>
      </c>
    </row>
    <row r="11" spans="1:6" ht="16.3">
      <c r="A11">
        <v>10</v>
      </c>
      <c r="B11" s="70" t="s">
        <v>846</v>
      </c>
    </row>
    <row r="12" spans="1:6" ht="16.3">
      <c r="A12">
        <v>11</v>
      </c>
      <c r="B12" s="70" t="s">
        <v>831</v>
      </c>
      <c r="E12" t="s">
        <v>880</v>
      </c>
    </row>
    <row r="13" spans="1:6" ht="16.3">
      <c r="A13">
        <v>12</v>
      </c>
      <c r="B13" s="112" t="s">
        <v>876</v>
      </c>
      <c r="C13" t="s">
        <v>880</v>
      </c>
    </row>
    <row r="14" spans="1:6" ht="16.3">
      <c r="A14">
        <v>13</v>
      </c>
      <c r="B14" s="70" t="s">
        <v>824</v>
      </c>
      <c r="E14" t="s">
        <v>880</v>
      </c>
    </row>
    <row r="15" spans="1:6" ht="16.3">
      <c r="A15">
        <v>14</v>
      </c>
      <c r="B15" s="112" t="s">
        <v>879</v>
      </c>
      <c r="C15" t="s">
        <v>880</v>
      </c>
      <c r="D15" t="s">
        <v>880</v>
      </c>
    </row>
    <row r="16" spans="1:6" ht="16.3">
      <c r="A16">
        <v>15</v>
      </c>
      <c r="B16" s="70" t="s">
        <v>272</v>
      </c>
      <c r="D16" t="s">
        <v>880</v>
      </c>
    </row>
    <row r="17" spans="1:5" ht="16.3">
      <c r="A17">
        <v>16</v>
      </c>
      <c r="B17" s="70" t="s">
        <v>830</v>
      </c>
      <c r="E17" t="s">
        <v>880</v>
      </c>
    </row>
    <row r="18" spans="1:5" ht="16.3">
      <c r="A18">
        <v>17</v>
      </c>
      <c r="B18" s="112" t="s">
        <v>891</v>
      </c>
      <c r="E18" t="s">
        <v>880</v>
      </c>
    </row>
    <row r="19" spans="1:5" ht="16.3">
      <c r="A19">
        <v>18</v>
      </c>
      <c r="B19" s="70" t="s">
        <v>845</v>
      </c>
    </row>
    <row r="20" spans="1:5" ht="16.3">
      <c r="A20">
        <v>19</v>
      </c>
      <c r="B20" s="70" t="s">
        <v>856</v>
      </c>
    </row>
    <row r="21" spans="1:5" ht="16.3">
      <c r="A21">
        <v>20</v>
      </c>
      <c r="B21" s="112" t="s">
        <v>871</v>
      </c>
      <c r="C21" t="s">
        <v>880</v>
      </c>
    </row>
    <row r="22" spans="1:5" ht="16.3">
      <c r="A22">
        <v>21</v>
      </c>
      <c r="B22" s="70" t="s">
        <v>849</v>
      </c>
    </row>
    <row r="23" spans="1:5" ht="16.3">
      <c r="A23">
        <v>22</v>
      </c>
      <c r="B23" s="112" t="s">
        <v>872</v>
      </c>
      <c r="C23" t="s">
        <v>880</v>
      </c>
    </row>
    <row r="24" spans="1:5" ht="16.3">
      <c r="A24">
        <v>23</v>
      </c>
      <c r="B24" s="112" t="s">
        <v>892</v>
      </c>
      <c r="E24" t="s">
        <v>880</v>
      </c>
    </row>
    <row r="25" spans="1:5" ht="16.3">
      <c r="A25">
        <v>24</v>
      </c>
      <c r="B25" s="112" t="s">
        <v>874</v>
      </c>
      <c r="C25" t="s">
        <v>880</v>
      </c>
    </row>
    <row r="26" spans="1:5" ht="16.3">
      <c r="A26">
        <v>25</v>
      </c>
      <c r="B26" s="70" t="s">
        <v>852</v>
      </c>
    </row>
    <row r="27" spans="1:5" ht="16.3">
      <c r="A27">
        <v>26</v>
      </c>
      <c r="B27" s="70" t="s">
        <v>843</v>
      </c>
      <c r="D27" t="s">
        <v>880</v>
      </c>
      <c r="E27" t="s">
        <v>880</v>
      </c>
    </row>
    <row r="28" spans="1:5" ht="16.3">
      <c r="A28">
        <v>27</v>
      </c>
      <c r="B28" s="112" t="s">
        <v>885</v>
      </c>
      <c r="D28" t="s">
        <v>880</v>
      </c>
    </row>
    <row r="29" spans="1:5" ht="16.3">
      <c r="A29">
        <v>28</v>
      </c>
      <c r="B29" s="70" t="s">
        <v>275</v>
      </c>
      <c r="D29" t="s">
        <v>880</v>
      </c>
    </row>
    <row r="30" spans="1:5" ht="16.3">
      <c r="A30">
        <v>29</v>
      </c>
      <c r="B30" s="112" t="s">
        <v>875</v>
      </c>
      <c r="C30" t="s">
        <v>880</v>
      </c>
    </row>
    <row r="31" spans="1:5" ht="16.3">
      <c r="A31">
        <v>30</v>
      </c>
      <c r="B31" s="70" t="s">
        <v>821</v>
      </c>
    </row>
    <row r="32" spans="1:5" ht="16.3">
      <c r="A32">
        <v>31</v>
      </c>
      <c r="B32" s="112" t="s">
        <v>867</v>
      </c>
      <c r="C32" t="s">
        <v>880</v>
      </c>
    </row>
    <row r="33" spans="1:5" ht="16.3">
      <c r="A33">
        <v>32</v>
      </c>
      <c r="B33" s="70" t="s">
        <v>854</v>
      </c>
    </row>
    <row r="34" spans="1:5" ht="16.3">
      <c r="A34">
        <v>33</v>
      </c>
      <c r="B34" s="112" t="s">
        <v>888</v>
      </c>
      <c r="E34" t="s">
        <v>880</v>
      </c>
    </row>
    <row r="35" spans="1:5" ht="16.3">
      <c r="A35">
        <v>34</v>
      </c>
      <c r="B35" s="112" t="s">
        <v>887</v>
      </c>
      <c r="E35" t="s">
        <v>880</v>
      </c>
    </row>
    <row r="36" spans="1:5" ht="16.3">
      <c r="A36">
        <v>35</v>
      </c>
      <c r="B36" s="70" t="s">
        <v>788</v>
      </c>
    </row>
    <row r="37" spans="1:5" ht="16.3">
      <c r="A37">
        <v>36</v>
      </c>
      <c r="B37" s="70" t="s">
        <v>827</v>
      </c>
    </row>
    <row r="38" spans="1:5" ht="16.3">
      <c r="A38">
        <v>37</v>
      </c>
      <c r="B38" s="70" t="s">
        <v>840</v>
      </c>
    </row>
    <row r="39" spans="1:5" ht="16.3">
      <c r="A39">
        <v>38</v>
      </c>
      <c r="B39" s="70" t="s">
        <v>859</v>
      </c>
    </row>
    <row r="40" spans="1:5" ht="16.3">
      <c r="A40">
        <v>39</v>
      </c>
      <c r="B40" s="70" t="s">
        <v>276</v>
      </c>
    </row>
    <row r="41" spans="1:5" ht="16.3">
      <c r="A41">
        <v>40</v>
      </c>
      <c r="B41" s="70" t="s">
        <v>842</v>
      </c>
      <c r="D41" t="s">
        <v>880</v>
      </c>
      <c r="E41" t="s">
        <v>880</v>
      </c>
    </row>
    <row r="42" spans="1:5" ht="16.3">
      <c r="A42">
        <v>41</v>
      </c>
      <c r="B42" s="70" t="s">
        <v>832</v>
      </c>
      <c r="E42" t="s">
        <v>880</v>
      </c>
    </row>
    <row r="43" spans="1:5" ht="16.3">
      <c r="A43">
        <v>42</v>
      </c>
      <c r="B43" s="70" t="s">
        <v>841</v>
      </c>
    </row>
    <row r="44" spans="1:5" ht="16.3">
      <c r="A44">
        <v>43</v>
      </c>
      <c r="B44" s="70" t="s">
        <v>839</v>
      </c>
    </row>
    <row r="45" spans="1:5" ht="16.3">
      <c r="A45">
        <v>44</v>
      </c>
      <c r="B45" s="70" t="s">
        <v>851</v>
      </c>
    </row>
    <row r="46" spans="1:5" ht="16.3">
      <c r="A46">
        <v>45</v>
      </c>
      <c r="B46" s="112" t="s">
        <v>889</v>
      </c>
      <c r="D46" t="s">
        <v>880</v>
      </c>
      <c r="E46" t="s">
        <v>880</v>
      </c>
    </row>
    <row r="47" spans="1:5" ht="16.3">
      <c r="A47">
        <v>46</v>
      </c>
      <c r="B47" s="112" t="s">
        <v>878</v>
      </c>
      <c r="C47" t="s">
        <v>880</v>
      </c>
    </row>
    <row r="48" spans="1:5" ht="16.3">
      <c r="A48">
        <v>47</v>
      </c>
      <c r="B48" s="70" t="s">
        <v>855</v>
      </c>
    </row>
    <row r="49" spans="1:6" ht="16.3">
      <c r="A49">
        <v>48</v>
      </c>
      <c r="B49" s="112" t="s">
        <v>868</v>
      </c>
      <c r="C49" t="s">
        <v>880</v>
      </c>
    </row>
    <row r="50" spans="1:6" ht="16.3">
      <c r="A50">
        <v>49</v>
      </c>
      <c r="B50" s="70" t="s">
        <v>274</v>
      </c>
      <c r="D50" t="s">
        <v>880</v>
      </c>
    </row>
    <row r="51" spans="1:6" ht="16.3">
      <c r="A51">
        <v>50</v>
      </c>
      <c r="B51" s="70" t="s">
        <v>833</v>
      </c>
      <c r="D51" t="s">
        <v>880</v>
      </c>
    </row>
    <row r="52" spans="1:6" ht="16.3">
      <c r="A52">
        <v>51</v>
      </c>
      <c r="B52" s="70" t="s">
        <v>786</v>
      </c>
    </row>
    <row r="53" spans="1:6" ht="16.3">
      <c r="A53">
        <v>52</v>
      </c>
      <c r="B53" s="70" t="s">
        <v>826</v>
      </c>
      <c r="E53" t="s">
        <v>880</v>
      </c>
    </row>
    <row r="54" spans="1:6" ht="16.3">
      <c r="A54">
        <v>53</v>
      </c>
      <c r="B54" s="113" t="s">
        <v>173</v>
      </c>
      <c r="C54" t="s">
        <v>880</v>
      </c>
      <c r="D54" t="s">
        <v>880</v>
      </c>
      <c r="E54" t="s">
        <v>880</v>
      </c>
      <c r="F54" t="s">
        <v>882</v>
      </c>
    </row>
    <row r="55" spans="1:6" ht="16.3">
      <c r="A55">
        <v>54</v>
      </c>
      <c r="B55" s="112" t="s">
        <v>886</v>
      </c>
      <c r="E55" t="s">
        <v>880</v>
      </c>
    </row>
    <row r="56" spans="1:6" ht="16.3">
      <c r="A56">
        <v>55</v>
      </c>
      <c r="B56" s="70" t="s">
        <v>838</v>
      </c>
      <c r="D56" t="s">
        <v>880</v>
      </c>
    </row>
    <row r="57" spans="1:6" ht="16.3">
      <c r="A57">
        <v>56</v>
      </c>
      <c r="B57" s="112" t="s">
        <v>883</v>
      </c>
      <c r="E57" t="s">
        <v>880</v>
      </c>
    </row>
    <row r="58" spans="1:6" ht="16.3">
      <c r="A58">
        <v>57</v>
      </c>
      <c r="B58" s="70" t="s">
        <v>850</v>
      </c>
    </row>
    <row r="59" spans="1:6" ht="16.3">
      <c r="A59">
        <v>58</v>
      </c>
      <c r="B59" s="70" t="s">
        <v>847</v>
      </c>
    </row>
    <row r="60" spans="1:6" ht="16.3">
      <c r="A60">
        <v>59</v>
      </c>
      <c r="B60" s="112" t="s">
        <v>865</v>
      </c>
      <c r="C60" t="s">
        <v>880</v>
      </c>
    </row>
    <row r="61" spans="1:6" ht="16.3">
      <c r="A61">
        <v>60</v>
      </c>
      <c r="B61" s="112" t="s">
        <v>877</v>
      </c>
      <c r="C61" t="s">
        <v>880</v>
      </c>
    </row>
    <row r="62" spans="1:6" ht="16.3">
      <c r="A62">
        <v>61</v>
      </c>
      <c r="B62" s="112" t="s">
        <v>873</v>
      </c>
      <c r="C62" t="s">
        <v>880</v>
      </c>
    </row>
    <row r="63" spans="1:6" ht="16.3">
      <c r="A63">
        <v>62</v>
      </c>
      <c r="B63" s="70" t="s">
        <v>857</v>
      </c>
    </row>
    <row r="64" spans="1:6" ht="16.3">
      <c r="A64">
        <v>63</v>
      </c>
      <c r="B64" s="70" t="s">
        <v>172</v>
      </c>
      <c r="C64" t="s">
        <v>880</v>
      </c>
    </row>
    <row r="65" spans="1:5" ht="16.3">
      <c r="A65">
        <v>64</v>
      </c>
      <c r="B65" s="112" t="s">
        <v>870</v>
      </c>
      <c r="C65" t="s">
        <v>880</v>
      </c>
    </row>
    <row r="66" spans="1:5" ht="16.3">
      <c r="A66">
        <v>65</v>
      </c>
      <c r="B66" s="112" t="s">
        <v>869</v>
      </c>
      <c r="C66" t="s">
        <v>880</v>
      </c>
    </row>
    <row r="67" spans="1:5" ht="16.3">
      <c r="A67">
        <v>66</v>
      </c>
      <c r="B67" s="70" t="s">
        <v>834</v>
      </c>
    </row>
    <row r="68" spans="1:5" ht="16.3">
      <c r="A68">
        <v>67</v>
      </c>
      <c r="B68" s="70" t="s">
        <v>823</v>
      </c>
      <c r="E68" t="s">
        <v>880</v>
      </c>
    </row>
    <row r="69" spans="1:5" ht="16.3">
      <c r="A69">
        <v>68</v>
      </c>
      <c r="B69" s="70" t="s">
        <v>844</v>
      </c>
    </row>
    <row r="70" spans="1:5" ht="16.3">
      <c r="A70">
        <v>69</v>
      </c>
      <c r="B70" s="112" t="s">
        <v>890</v>
      </c>
      <c r="E70" t="s">
        <v>880</v>
      </c>
    </row>
    <row r="71" spans="1:5" ht="16.3">
      <c r="A71">
        <v>70</v>
      </c>
      <c r="B71" s="70" t="s">
        <v>825</v>
      </c>
      <c r="E71" t="s">
        <v>880</v>
      </c>
    </row>
    <row r="72" spans="1:5" ht="16.3">
      <c r="A72">
        <v>71</v>
      </c>
      <c r="B72" s="70" t="s">
        <v>848</v>
      </c>
    </row>
  </sheetData>
  <autoFilter ref="A1:F1" xr:uid="{50CB4135-1213-40DD-99FA-F4F9C2EC481E}">
    <sortState xmlns:xlrd2="http://schemas.microsoft.com/office/spreadsheetml/2017/richdata2" ref="A2:F72">
      <sortCondition ref="B1"/>
    </sortState>
  </autoFilter>
  <sortState xmlns:xlrd2="http://schemas.microsoft.com/office/spreadsheetml/2017/richdata2" ref="B2:F64">
    <sortCondition ref="B1:B64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43A31-003B-4B89-8C3E-E9D99DCE5D49}">
  <sheetPr>
    <tabColor rgb="FFC00000"/>
  </sheetPr>
  <dimension ref="A1:AN19"/>
  <sheetViews>
    <sheetView topLeftCell="A4" workbookViewId="0">
      <selection activeCell="Q12" sqref="Q12"/>
    </sheetView>
  </sheetViews>
  <sheetFormatPr defaultRowHeight="14.3"/>
  <cols>
    <col min="1" max="1" width="2.875" bestFit="1" customWidth="1"/>
    <col min="13" max="13" width="1.375" bestFit="1" customWidth="1"/>
    <col min="17" max="18" width="4.875" bestFit="1" customWidth="1"/>
    <col min="19" max="40" width="3" customWidth="1"/>
  </cols>
  <sheetData>
    <row r="1" spans="1:40">
      <c r="D1" s="169" t="s">
        <v>267</v>
      </c>
      <c r="E1" s="169"/>
      <c r="F1" s="169"/>
      <c r="G1" s="169"/>
      <c r="H1" s="169"/>
      <c r="I1" s="169"/>
      <c r="J1" s="115"/>
      <c r="N1" t="s">
        <v>1140</v>
      </c>
      <c r="Q1">
        <v>1</v>
      </c>
      <c r="R1">
        <v>2</v>
      </c>
      <c r="S1">
        <v>3</v>
      </c>
      <c r="T1">
        <v>4</v>
      </c>
      <c r="U1">
        <v>5</v>
      </c>
      <c r="V1">
        <v>6</v>
      </c>
      <c r="W1">
        <v>7</v>
      </c>
      <c r="X1">
        <v>8</v>
      </c>
      <c r="Y1">
        <v>9</v>
      </c>
      <c r="Z1">
        <v>10</v>
      </c>
      <c r="AA1">
        <v>11</v>
      </c>
      <c r="AB1">
        <v>12</v>
      </c>
      <c r="AC1">
        <v>13</v>
      </c>
      <c r="AD1">
        <v>14</v>
      </c>
      <c r="AE1">
        <v>15</v>
      </c>
      <c r="AF1">
        <v>16</v>
      </c>
      <c r="AG1">
        <v>17</v>
      </c>
      <c r="AH1">
        <v>18</v>
      </c>
      <c r="AI1">
        <v>19</v>
      </c>
      <c r="AJ1">
        <v>20</v>
      </c>
      <c r="AK1">
        <v>21</v>
      </c>
      <c r="AL1">
        <v>22</v>
      </c>
      <c r="AM1">
        <v>23</v>
      </c>
      <c r="AN1">
        <v>24</v>
      </c>
    </row>
    <row r="2" spans="1:40">
      <c r="C2" t="s">
        <v>258</v>
      </c>
      <c r="D2" t="s">
        <v>247</v>
      </c>
      <c r="F2" t="s">
        <v>248</v>
      </c>
      <c r="I2" t="s">
        <v>242</v>
      </c>
      <c r="N2" t="s">
        <v>203</v>
      </c>
      <c r="O2" t="s">
        <v>204</v>
      </c>
      <c r="P2" t="s">
        <v>205</v>
      </c>
    </row>
    <row r="3" spans="1:40">
      <c r="A3">
        <v>15</v>
      </c>
    </row>
    <row r="4" spans="1:40">
      <c r="A4">
        <v>14</v>
      </c>
      <c r="H4" t="s">
        <v>250</v>
      </c>
    </row>
    <row r="5" spans="1:40">
      <c r="A5">
        <v>13</v>
      </c>
      <c r="H5" t="s">
        <v>249</v>
      </c>
    </row>
    <row r="6" spans="1:40">
      <c r="A6">
        <v>12</v>
      </c>
      <c r="D6" t="s">
        <v>238</v>
      </c>
      <c r="F6" t="s">
        <v>243</v>
      </c>
    </row>
    <row r="7" spans="1:40">
      <c r="A7">
        <v>11</v>
      </c>
      <c r="F7" t="s">
        <v>246</v>
      </c>
      <c r="J7" t="s">
        <v>945</v>
      </c>
      <c r="M7" t="s">
        <v>92</v>
      </c>
    </row>
    <row r="8" spans="1:40">
      <c r="A8">
        <v>10</v>
      </c>
      <c r="D8" t="s">
        <v>241</v>
      </c>
      <c r="E8" t="s">
        <v>240</v>
      </c>
      <c r="F8" t="s">
        <v>245</v>
      </c>
      <c r="J8" t="s">
        <v>943</v>
      </c>
      <c r="K8" t="s">
        <v>255</v>
      </c>
    </row>
    <row r="9" spans="1:40">
      <c r="A9">
        <v>9</v>
      </c>
      <c r="C9" t="s">
        <v>264</v>
      </c>
      <c r="D9" t="s">
        <v>236</v>
      </c>
      <c r="H9" t="s">
        <v>257</v>
      </c>
      <c r="I9" t="s">
        <v>262</v>
      </c>
    </row>
    <row r="10" spans="1:40">
      <c r="A10">
        <v>8</v>
      </c>
      <c r="B10" s="98" t="s">
        <v>461</v>
      </c>
      <c r="C10" t="s">
        <v>266</v>
      </c>
      <c r="D10" t="s">
        <v>237</v>
      </c>
      <c r="G10" t="s">
        <v>244</v>
      </c>
      <c r="K10" t="s">
        <v>254</v>
      </c>
      <c r="Q10">
        <v>1000</v>
      </c>
      <c r="R10">
        <f t="shared" ref="R10:AG14" si="0">$Q10</f>
        <v>1000</v>
      </c>
      <c r="S10">
        <f t="shared" si="0"/>
        <v>1000</v>
      </c>
      <c r="T10">
        <f t="shared" si="0"/>
        <v>1000</v>
      </c>
      <c r="U10">
        <f t="shared" si="0"/>
        <v>1000</v>
      </c>
      <c r="V10">
        <f t="shared" si="0"/>
        <v>1000</v>
      </c>
      <c r="W10">
        <f t="shared" si="0"/>
        <v>1000</v>
      </c>
      <c r="X10">
        <f t="shared" si="0"/>
        <v>1000</v>
      </c>
      <c r="Y10">
        <f t="shared" si="0"/>
        <v>1000</v>
      </c>
      <c r="Z10">
        <f t="shared" si="0"/>
        <v>1000</v>
      </c>
      <c r="AA10">
        <f t="shared" si="0"/>
        <v>1000</v>
      </c>
      <c r="AB10">
        <f t="shared" si="0"/>
        <v>1000</v>
      </c>
      <c r="AC10">
        <f t="shared" si="0"/>
        <v>1000</v>
      </c>
      <c r="AD10">
        <f t="shared" si="0"/>
        <v>1000</v>
      </c>
      <c r="AE10">
        <f t="shared" si="0"/>
        <v>1000</v>
      </c>
      <c r="AF10">
        <f t="shared" si="0"/>
        <v>1000</v>
      </c>
      <c r="AG10">
        <f t="shared" si="0"/>
        <v>1000</v>
      </c>
      <c r="AH10">
        <f t="shared" ref="S10:AN15" si="1">$Q10</f>
        <v>1000</v>
      </c>
      <c r="AI10">
        <f t="shared" si="1"/>
        <v>1000</v>
      </c>
      <c r="AJ10">
        <f t="shared" si="1"/>
        <v>1000</v>
      </c>
      <c r="AK10">
        <f t="shared" si="1"/>
        <v>1000</v>
      </c>
      <c r="AL10">
        <f t="shared" si="1"/>
        <v>1000</v>
      </c>
      <c r="AM10">
        <f t="shared" si="1"/>
        <v>1000</v>
      </c>
      <c r="AN10">
        <f t="shared" si="1"/>
        <v>1000</v>
      </c>
    </row>
    <row r="11" spans="1:40">
      <c r="A11">
        <v>7</v>
      </c>
      <c r="B11" s="98" t="s">
        <v>460</v>
      </c>
      <c r="C11" t="s">
        <v>462</v>
      </c>
      <c r="Q11">
        <v>850</v>
      </c>
      <c r="R11">
        <f t="shared" si="0"/>
        <v>850</v>
      </c>
      <c r="S11">
        <f t="shared" si="0"/>
        <v>850</v>
      </c>
      <c r="T11">
        <f t="shared" si="0"/>
        <v>850</v>
      </c>
      <c r="U11">
        <f t="shared" si="0"/>
        <v>850</v>
      </c>
      <c r="V11">
        <f t="shared" si="0"/>
        <v>850</v>
      </c>
      <c r="W11">
        <f t="shared" si="0"/>
        <v>850</v>
      </c>
      <c r="X11">
        <f t="shared" si="0"/>
        <v>850</v>
      </c>
      <c r="Y11">
        <f t="shared" si="0"/>
        <v>850</v>
      </c>
      <c r="Z11">
        <f t="shared" si="0"/>
        <v>850</v>
      </c>
      <c r="AA11">
        <f t="shared" si="0"/>
        <v>850</v>
      </c>
      <c r="AB11">
        <f t="shared" si="0"/>
        <v>850</v>
      </c>
      <c r="AC11">
        <f t="shared" si="0"/>
        <v>850</v>
      </c>
      <c r="AD11">
        <f t="shared" si="0"/>
        <v>850</v>
      </c>
      <c r="AE11">
        <f t="shared" si="0"/>
        <v>850</v>
      </c>
      <c r="AF11">
        <f t="shared" si="0"/>
        <v>850</v>
      </c>
      <c r="AG11">
        <f t="shared" si="0"/>
        <v>850</v>
      </c>
      <c r="AH11">
        <f t="shared" si="1"/>
        <v>850</v>
      </c>
      <c r="AI11">
        <f t="shared" si="1"/>
        <v>850</v>
      </c>
      <c r="AJ11">
        <f t="shared" si="1"/>
        <v>850</v>
      </c>
      <c r="AK11">
        <f t="shared" si="1"/>
        <v>850</v>
      </c>
      <c r="AL11">
        <f t="shared" si="1"/>
        <v>850</v>
      </c>
      <c r="AM11">
        <f t="shared" si="1"/>
        <v>850</v>
      </c>
      <c r="AN11">
        <f t="shared" si="1"/>
        <v>850</v>
      </c>
    </row>
    <row r="12" spans="1:40">
      <c r="B12" s="98"/>
      <c r="C12" t="s">
        <v>265</v>
      </c>
      <c r="Q12">
        <v>700</v>
      </c>
      <c r="R12">
        <f t="shared" si="0"/>
        <v>700</v>
      </c>
      <c r="S12">
        <f t="shared" si="1"/>
        <v>700</v>
      </c>
      <c r="T12">
        <f t="shared" si="1"/>
        <v>700</v>
      </c>
      <c r="U12">
        <f t="shared" si="1"/>
        <v>700</v>
      </c>
      <c r="V12">
        <f t="shared" si="1"/>
        <v>700</v>
      </c>
      <c r="W12">
        <f t="shared" si="1"/>
        <v>700</v>
      </c>
      <c r="X12">
        <f t="shared" si="1"/>
        <v>700</v>
      </c>
      <c r="Y12">
        <f t="shared" si="1"/>
        <v>700</v>
      </c>
      <c r="Z12">
        <f t="shared" si="1"/>
        <v>700</v>
      </c>
      <c r="AA12">
        <f t="shared" si="1"/>
        <v>700</v>
      </c>
      <c r="AB12">
        <f t="shared" si="1"/>
        <v>700</v>
      </c>
      <c r="AC12">
        <f t="shared" si="1"/>
        <v>700</v>
      </c>
      <c r="AD12">
        <f t="shared" si="1"/>
        <v>700</v>
      </c>
      <c r="AE12">
        <f t="shared" si="1"/>
        <v>700</v>
      </c>
      <c r="AF12">
        <f t="shared" si="1"/>
        <v>700</v>
      </c>
      <c r="AG12">
        <f t="shared" si="1"/>
        <v>700</v>
      </c>
      <c r="AH12">
        <f t="shared" si="1"/>
        <v>700</v>
      </c>
      <c r="AI12">
        <f t="shared" si="1"/>
        <v>700</v>
      </c>
      <c r="AJ12">
        <f t="shared" si="1"/>
        <v>700</v>
      </c>
      <c r="AK12">
        <f t="shared" si="1"/>
        <v>700</v>
      </c>
      <c r="AL12">
        <f t="shared" si="1"/>
        <v>700</v>
      </c>
      <c r="AM12">
        <f t="shared" si="1"/>
        <v>700</v>
      </c>
      <c r="AN12">
        <f t="shared" si="1"/>
        <v>700</v>
      </c>
    </row>
    <row r="13" spans="1:40">
      <c r="A13">
        <v>5</v>
      </c>
      <c r="B13" s="98" t="s">
        <v>464</v>
      </c>
      <c r="C13" t="s">
        <v>463</v>
      </c>
      <c r="H13" t="s">
        <v>256</v>
      </c>
      <c r="Q13">
        <v>600</v>
      </c>
      <c r="R13">
        <f t="shared" si="0"/>
        <v>600</v>
      </c>
      <c r="S13">
        <f t="shared" si="1"/>
        <v>600</v>
      </c>
      <c r="T13">
        <f t="shared" si="1"/>
        <v>600</v>
      </c>
      <c r="U13">
        <f t="shared" si="1"/>
        <v>600</v>
      </c>
      <c r="V13">
        <f t="shared" si="1"/>
        <v>600</v>
      </c>
      <c r="W13">
        <f t="shared" si="1"/>
        <v>600</v>
      </c>
      <c r="X13">
        <f t="shared" si="1"/>
        <v>600</v>
      </c>
      <c r="Y13">
        <f t="shared" si="1"/>
        <v>600</v>
      </c>
      <c r="Z13">
        <f t="shared" si="1"/>
        <v>600</v>
      </c>
      <c r="AA13">
        <f t="shared" si="1"/>
        <v>600</v>
      </c>
      <c r="AB13">
        <f t="shared" si="1"/>
        <v>600</v>
      </c>
      <c r="AC13">
        <f t="shared" si="1"/>
        <v>600</v>
      </c>
      <c r="AD13">
        <f t="shared" si="1"/>
        <v>600</v>
      </c>
      <c r="AE13">
        <f t="shared" si="1"/>
        <v>600</v>
      </c>
      <c r="AF13">
        <f t="shared" si="1"/>
        <v>600</v>
      </c>
      <c r="AG13">
        <f t="shared" si="1"/>
        <v>600</v>
      </c>
      <c r="AH13">
        <f t="shared" si="1"/>
        <v>600</v>
      </c>
      <c r="AI13">
        <f t="shared" si="1"/>
        <v>600</v>
      </c>
      <c r="AJ13">
        <f t="shared" si="1"/>
        <v>600</v>
      </c>
      <c r="AK13">
        <f t="shared" si="1"/>
        <v>600</v>
      </c>
      <c r="AL13">
        <f t="shared" si="1"/>
        <v>600</v>
      </c>
      <c r="AM13">
        <f t="shared" si="1"/>
        <v>600</v>
      </c>
      <c r="AN13">
        <f t="shared" si="1"/>
        <v>600</v>
      </c>
    </row>
    <row r="14" spans="1:40">
      <c r="A14">
        <v>4</v>
      </c>
      <c r="B14" s="98" t="s">
        <v>434</v>
      </c>
      <c r="C14" t="s">
        <v>263</v>
      </c>
      <c r="F14" t="s">
        <v>242</v>
      </c>
      <c r="I14" t="s">
        <v>261</v>
      </c>
      <c r="Q14">
        <v>400</v>
      </c>
      <c r="R14">
        <f t="shared" si="0"/>
        <v>400</v>
      </c>
      <c r="S14">
        <f t="shared" si="1"/>
        <v>400</v>
      </c>
      <c r="T14">
        <f t="shared" si="1"/>
        <v>400</v>
      </c>
      <c r="U14">
        <f t="shared" si="1"/>
        <v>400</v>
      </c>
      <c r="V14">
        <f t="shared" si="1"/>
        <v>400</v>
      </c>
      <c r="W14">
        <f t="shared" si="1"/>
        <v>400</v>
      </c>
      <c r="X14">
        <f t="shared" si="1"/>
        <v>400</v>
      </c>
      <c r="Y14">
        <f t="shared" si="1"/>
        <v>400</v>
      </c>
      <c r="Z14">
        <f t="shared" si="1"/>
        <v>400</v>
      </c>
      <c r="AA14">
        <f t="shared" si="1"/>
        <v>400</v>
      </c>
      <c r="AB14">
        <f t="shared" si="1"/>
        <v>400</v>
      </c>
      <c r="AC14">
        <f t="shared" si="1"/>
        <v>400</v>
      </c>
      <c r="AD14">
        <f t="shared" si="1"/>
        <v>400</v>
      </c>
      <c r="AE14">
        <f t="shared" si="1"/>
        <v>400</v>
      </c>
      <c r="AF14">
        <f t="shared" si="1"/>
        <v>400</v>
      </c>
      <c r="AG14">
        <f t="shared" si="1"/>
        <v>400</v>
      </c>
      <c r="AH14">
        <f t="shared" si="1"/>
        <v>400</v>
      </c>
      <c r="AI14">
        <f t="shared" si="1"/>
        <v>400</v>
      </c>
      <c r="AJ14">
        <f t="shared" si="1"/>
        <v>400</v>
      </c>
      <c r="AK14">
        <f t="shared" si="1"/>
        <v>400</v>
      </c>
      <c r="AL14">
        <f t="shared" si="1"/>
        <v>400</v>
      </c>
      <c r="AM14">
        <f t="shared" si="1"/>
        <v>400</v>
      </c>
      <c r="AN14">
        <f t="shared" si="1"/>
        <v>400</v>
      </c>
    </row>
    <row r="15" spans="1:40">
      <c r="A15">
        <v>3</v>
      </c>
      <c r="B15" s="98" t="s">
        <v>269</v>
      </c>
      <c r="C15" t="s">
        <v>259</v>
      </c>
      <c r="H15" t="s">
        <v>252</v>
      </c>
      <c r="Q15">
        <v>150</v>
      </c>
      <c r="R15">
        <f>$Q15</f>
        <v>150</v>
      </c>
      <c r="S15">
        <f t="shared" si="1"/>
        <v>150</v>
      </c>
      <c r="T15">
        <f t="shared" si="1"/>
        <v>150</v>
      </c>
      <c r="U15">
        <f t="shared" si="1"/>
        <v>150</v>
      </c>
      <c r="V15">
        <f t="shared" si="1"/>
        <v>150</v>
      </c>
      <c r="W15">
        <f t="shared" si="1"/>
        <v>150</v>
      </c>
      <c r="X15">
        <f t="shared" si="1"/>
        <v>150</v>
      </c>
      <c r="Y15">
        <f t="shared" si="1"/>
        <v>150</v>
      </c>
      <c r="Z15">
        <f t="shared" si="1"/>
        <v>150</v>
      </c>
      <c r="AA15">
        <f t="shared" si="1"/>
        <v>150</v>
      </c>
      <c r="AB15">
        <f t="shared" si="1"/>
        <v>150</v>
      </c>
      <c r="AC15">
        <f t="shared" si="1"/>
        <v>150</v>
      </c>
      <c r="AD15">
        <f t="shared" si="1"/>
        <v>150</v>
      </c>
      <c r="AE15">
        <f t="shared" si="1"/>
        <v>150</v>
      </c>
      <c r="AF15">
        <f t="shared" si="1"/>
        <v>150</v>
      </c>
      <c r="AG15">
        <f t="shared" si="1"/>
        <v>150</v>
      </c>
      <c r="AH15">
        <f t="shared" si="1"/>
        <v>150</v>
      </c>
      <c r="AI15">
        <f t="shared" si="1"/>
        <v>150</v>
      </c>
      <c r="AJ15">
        <f t="shared" si="1"/>
        <v>150</v>
      </c>
      <c r="AK15">
        <f t="shared" si="1"/>
        <v>150</v>
      </c>
      <c r="AL15">
        <f t="shared" si="1"/>
        <v>150</v>
      </c>
      <c r="AM15">
        <f t="shared" si="1"/>
        <v>150</v>
      </c>
      <c r="AN15">
        <f t="shared" si="1"/>
        <v>150</v>
      </c>
    </row>
    <row r="16" spans="1:40">
      <c r="A16">
        <v>2</v>
      </c>
      <c r="B16" s="98"/>
    </row>
    <row r="17" spans="1:17">
      <c r="A17">
        <v>1</v>
      </c>
      <c r="E17" t="s">
        <v>239</v>
      </c>
      <c r="H17" t="s">
        <v>251</v>
      </c>
      <c r="I17" t="s">
        <v>260</v>
      </c>
      <c r="J17" t="s">
        <v>944</v>
      </c>
      <c r="K17" t="s">
        <v>253</v>
      </c>
    </row>
    <row r="18" spans="1:17">
      <c r="C18" t="s">
        <v>1204</v>
      </c>
      <c r="Q18">
        <v>470</v>
      </c>
    </row>
    <row r="19" spans="1:17">
      <c r="C19" t="s">
        <v>1205</v>
      </c>
      <c r="Q19">
        <v>600</v>
      </c>
    </row>
  </sheetData>
  <autoFilter ref="B2:K2" xr:uid="{33F43A31-003B-4B89-8C3E-E9D99DCE5D49}"/>
  <mergeCells count="1">
    <mergeCell ref="D1:I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CD857-A650-47E5-B68C-C4B606EFB386}">
  <sheetPr>
    <tabColor rgb="FFC00000"/>
  </sheetPr>
  <dimension ref="A1:V10"/>
  <sheetViews>
    <sheetView workbookViewId="0">
      <selection activeCell="T27" sqref="T27"/>
    </sheetView>
  </sheetViews>
  <sheetFormatPr defaultRowHeight="14.3" outlineLevelCol="1"/>
  <cols>
    <col min="1" max="1" width="17.25" bestFit="1" customWidth="1" outlineLevel="1"/>
    <col min="2" max="2" width="9" style="164" customWidth="1" outlineLevel="1"/>
    <col min="3" max="10" width="9" customWidth="1" outlineLevel="1"/>
    <col min="11" max="11" width="8.875" customWidth="1" outlineLevel="1"/>
    <col min="12" max="12" width="1.375" bestFit="1" customWidth="1"/>
    <col min="17" max="17" width="1.375" bestFit="1" customWidth="1"/>
    <col min="21" max="21" width="23.5" style="163" bestFit="1" customWidth="1"/>
  </cols>
  <sheetData>
    <row r="1" spans="1:22">
      <c r="A1" t="s">
        <v>921</v>
      </c>
      <c r="B1" s="164" t="s">
        <v>210</v>
      </c>
      <c r="C1" t="s">
        <v>203</v>
      </c>
      <c r="D1" t="s">
        <v>204</v>
      </c>
      <c r="E1" t="s">
        <v>205</v>
      </c>
      <c r="F1" t="s">
        <v>270</v>
      </c>
      <c r="G1" t="s">
        <v>233</v>
      </c>
      <c r="H1" t="s">
        <v>206</v>
      </c>
      <c r="I1" t="s">
        <v>228</v>
      </c>
      <c r="J1" t="s">
        <v>1115</v>
      </c>
      <c r="L1" t="s">
        <v>92</v>
      </c>
      <c r="Q1" t="s">
        <v>92</v>
      </c>
      <c r="R1" t="s">
        <v>1116</v>
      </c>
      <c r="S1" t="s">
        <v>1117</v>
      </c>
      <c r="T1" t="s">
        <v>1118</v>
      </c>
      <c r="U1" s="163" t="s">
        <v>1120</v>
      </c>
      <c r="V1" t="s">
        <v>1119</v>
      </c>
    </row>
    <row r="2" spans="1:22">
      <c r="A2" t="s">
        <v>1122</v>
      </c>
      <c r="B2" s="164" t="s">
        <v>207</v>
      </c>
      <c r="C2" s="68">
        <v>2</v>
      </c>
      <c r="D2" s="68">
        <v>4</v>
      </c>
      <c r="E2" s="68">
        <v>5</v>
      </c>
      <c r="G2" s="68">
        <v>22</v>
      </c>
      <c r="H2" s="68">
        <v>2</v>
      </c>
      <c r="I2" t="s">
        <v>229</v>
      </c>
      <c r="R2" t="s">
        <v>199</v>
      </c>
      <c r="S2" t="s">
        <v>1125</v>
      </c>
      <c r="T2" t="s">
        <v>1123</v>
      </c>
      <c r="U2" s="163" t="str">
        <f>IF(R2&lt;&gt;"",R2&amp;" ","") &amp;IF(ISNUMBER(SEARCH("moon",S2)),"Moon",IF(ISNUMBER(SEARCH("planet",S2)),"Planet","WHAT IS THIS")) &amp;IF(ISNUMBER(SEARCH("moon",S2))," of "&amp;T2,IF(ISNUMBER(SEARCH("planet",S2))," "&amp;B2,))</f>
        <v>Test Moon of Abc</v>
      </c>
      <c r="V2" t="s">
        <v>1124</v>
      </c>
    </row>
    <row r="3" spans="1:22">
      <c r="C3" s="68">
        <v>8</v>
      </c>
      <c r="D3" s="68">
        <v>7</v>
      </c>
      <c r="E3" s="68">
        <v>6</v>
      </c>
      <c r="G3" s="68">
        <v>35</v>
      </c>
      <c r="H3" s="68">
        <v>2</v>
      </c>
      <c r="I3" t="s">
        <v>230</v>
      </c>
      <c r="S3" t="s">
        <v>1126</v>
      </c>
      <c r="U3" s="163" t="str">
        <f>IF(R3&lt;&gt;"",R3&amp;" ","") &amp;IF(ISNUMBER(SEARCH("moon",S3)),"Moon",IF(ISNUMBER(SEARCH("planet",S3)),"Planet","WHAT IS THIS")) &amp;IF(ISNUMBER(SEARCH("moon",S3))," of "&amp;T3,IF(ISNUMBER(SEARCH("planet",S3))," "&amp;B3,))</f>
        <v xml:space="preserve">Planet </v>
      </c>
    </row>
    <row r="4" spans="1:22">
      <c r="B4" s="164" t="s">
        <v>208</v>
      </c>
      <c r="C4" s="68">
        <v>-9</v>
      </c>
      <c r="D4" s="68">
        <v>-10</v>
      </c>
      <c r="E4" s="68">
        <v>-11</v>
      </c>
      <c r="G4" s="68">
        <v>24</v>
      </c>
      <c r="H4" s="68">
        <v>3</v>
      </c>
      <c r="I4" t="s">
        <v>231</v>
      </c>
      <c r="U4" s="163" t="str">
        <f t="shared" ref="U4:U10" si="0">IF(R4&lt;&gt;"",R4&amp;" ","") &amp;IF(ISNUMBER(SEARCH("moon",S4)),"Moon",IF(ISNUMBER(SEARCH("planet",S4)),"Planet","WHAT IS THIS")) &amp;IF(ISNUMBER(SEARCH("moon",S4))," of "&amp;T4,IF(ISNUMBER(SEARCH("planet",S4))," "&amp;B4,))</f>
        <v>WHAT IS THIS</v>
      </c>
    </row>
    <row r="5" spans="1:22">
      <c r="C5" s="68">
        <v>-12</v>
      </c>
      <c r="D5" s="68">
        <v>-13</v>
      </c>
      <c r="E5" s="68">
        <v>-14</v>
      </c>
      <c r="G5" s="68">
        <v>33</v>
      </c>
      <c r="H5" s="68">
        <v>4</v>
      </c>
      <c r="I5" t="s">
        <v>232</v>
      </c>
      <c r="U5" s="163" t="str">
        <f t="shared" si="0"/>
        <v>WHAT IS THIS</v>
      </c>
    </row>
    <row r="6" spans="1:22">
      <c r="B6" s="164" t="s">
        <v>209</v>
      </c>
      <c r="C6" s="68">
        <v>15</v>
      </c>
      <c r="D6" s="68">
        <v>20</v>
      </c>
      <c r="E6" s="68">
        <v>23</v>
      </c>
      <c r="G6" s="68">
        <v>26</v>
      </c>
      <c r="H6" s="68">
        <v>1</v>
      </c>
      <c r="U6" s="163" t="str">
        <f t="shared" si="0"/>
        <v>WHAT IS THIS</v>
      </c>
    </row>
    <row r="7" spans="1:22">
      <c r="C7" s="68">
        <v>16</v>
      </c>
      <c r="D7" s="68">
        <v>19</v>
      </c>
      <c r="E7" s="68">
        <v>22</v>
      </c>
      <c r="G7" s="68">
        <v>31</v>
      </c>
      <c r="H7" s="68">
        <v>3</v>
      </c>
      <c r="U7" s="163" t="str">
        <f t="shared" si="0"/>
        <v>WHAT IS THIS</v>
      </c>
    </row>
    <row r="8" spans="1:22">
      <c r="C8" s="68">
        <v>17</v>
      </c>
      <c r="D8" s="68">
        <v>18</v>
      </c>
      <c r="E8" s="68">
        <v>21</v>
      </c>
      <c r="G8" s="68">
        <v>28</v>
      </c>
      <c r="H8" s="68">
        <v>6</v>
      </c>
      <c r="U8" s="163" t="str">
        <f t="shared" si="0"/>
        <v>WHAT IS THIS</v>
      </c>
    </row>
    <row r="9" spans="1:22">
      <c r="A9" t="s">
        <v>1121</v>
      </c>
      <c r="C9" s="68">
        <v>122</v>
      </c>
      <c r="D9" s="68">
        <v>221</v>
      </c>
      <c r="E9" s="68">
        <v>212</v>
      </c>
      <c r="H9" s="68">
        <v>1000</v>
      </c>
      <c r="I9" t="s">
        <v>466</v>
      </c>
      <c r="U9" s="163" t="str">
        <f t="shared" si="0"/>
        <v>WHAT IS THIS</v>
      </c>
    </row>
    <row r="10" spans="1:22">
      <c r="B10" s="164" t="s">
        <v>465</v>
      </c>
      <c r="F10" t="s">
        <v>287</v>
      </c>
      <c r="G10" s="68">
        <v>20</v>
      </c>
      <c r="H10" s="68">
        <v>100</v>
      </c>
      <c r="R10" t="s">
        <v>1127</v>
      </c>
      <c r="S10" t="s">
        <v>1126</v>
      </c>
      <c r="U10" s="163" t="str">
        <f t="shared" si="0"/>
        <v>Feline Planet NyaNya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0DB5C-B6E5-4367-B50F-CAE19796E520}">
  <dimension ref="A1:H17"/>
  <sheetViews>
    <sheetView workbookViewId="0">
      <selection activeCell="B17" sqref="B17"/>
    </sheetView>
  </sheetViews>
  <sheetFormatPr defaultRowHeight="14.3"/>
  <cols>
    <col min="1" max="1" width="19.875" bestFit="1" customWidth="1"/>
    <col min="2" max="2" width="18.75" bestFit="1" customWidth="1"/>
  </cols>
  <sheetData>
    <row r="1" spans="1:8">
      <c r="A1" t="s">
        <v>1167</v>
      </c>
      <c r="B1" t="s">
        <v>1141</v>
      </c>
      <c r="C1" t="s">
        <v>1143</v>
      </c>
      <c r="F1" t="s">
        <v>1157</v>
      </c>
      <c r="G1" t="s">
        <v>1158</v>
      </c>
    </row>
    <row r="2" spans="1:8">
      <c r="A2" t="s">
        <v>1168</v>
      </c>
      <c r="B2" t="s">
        <v>1142</v>
      </c>
      <c r="C2" t="s">
        <v>1144</v>
      </c>
      <c r="F2" t="s">
        <v>206</v>
      </c>
      <c r="G2" t="s">
        <v>1159</v>
      </c>
    </row>
    <row r="3" spans="1:8">
      <c r="C3" t="s">
        <v>1145</v>
      </c>
      <c r="F3" t="s">
        <v>1160</v>
      </c>
      <c r="G3" t="s">
        <v>918</v>
      </c>
      <c r="H3" t="s">
        <v>1161</v>
      </c>
    </row>
    <row r="4" spans="1:8">
      <c r="C4" t="s">
        <v>1146</v>
      </c>
      <c r="G4" t="s">
        <v>1162</v>
      </c>
      <c r="H4" t="s">
        <v>1163</v>
      </c>
    </row>
    <row r="5" spans="1:8">
      <c r="G5" t="s">
        <v>1164</v>
      </c>
      <c r="H5" t="s">
        <v>1165</v>
      </c>
    </row>
    <row r="6" spans="1:8">
      <c r="B6" t="s">
        <v>1147</v>
      </c>
      <c r="C6" t="s">
        <v>1150</v>
      </c>
    </row>
    <row r="7" spans="1:8">
      <c r="C7" t="s">
        <v>1148</v>
      </c>
    </row>
    <row r="8" spans="1:8">
      <c r="C8" t="s">
        <v>1149</v>
      </c>
    </row>
    <row r="9" spans="1:8">
      <c r="C9" t="s">
        <v>1151</v>
      </c>
    </row>
    <row r="10" spans="1:8">
      <c r="C10" t="s">
        <v>1152</v>
      </c>
    </row>
    <row r="12" spans="1:8">
      <c r="B12" t="s">
        <v>1154</v>
      </c>
      <c r="C12" t="s">
        <v>1170</v>
      </c>
    </row>
    <row r="13" spans="1:8">
      <c r="C13" t="s">
        <v>1155</v>
      </c>
    </row>
    <row r="14" spans="1:8">
      <c r="C14" t="s">
        <v>1149</v>
      </c>
    </row>
    <row r="15" spans="1:8">
      <c r="C15" t="s">
        <v>1156</v>
      </c>
    </row>
    <row r="17" spans="1:1">
      <c r="A17" t="s">
        <v>1169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BC822-844E-4148-9B87-C314382FB036}">
  <sheetPr>
    <tabColor rgb="FFC00000"/>
  </sheetPr>
  <dimension ref="A1:X226"/>
  <sheetViews>
    <sheetView zoomScale="99" workbookViewId="0">
      <selection activeCell="O16" sqref="O16"/>
    </sheetView>
  </sheetViews>
  <sheetFormatPr defaultRowHeight="14.3" outlineLevelCol="1"/>
  <cols>
    <col min="1" max="1" width="12.625" customWidth="1"/>
    <col min="3" max="3" width="18.125" bestFit="1" customWidth="1"/>
    <col min="4" max="6" width="5.625" style="95" customWidth="1" outlineLevel="1"/>
    <col min="7" max="7" width="18.125" bestFit="1" customWidth="1"/>
    <col min="8" max="8" width="7.5" customWidth="1"/>
    <col min="9" max="9" width="17.125" style="102" bestFit="1" customWidth="1" outlineLevel="1"/>
    <col min="10" max="12" width="17.125" style="102" customWidth="1" outlineLevel="1"/>
    <col min="13" max="13" width="1.375" bestFit="1" customWidth="1"/>
    <col min="14" max="17" width="9" customWidth="1" outlineLevel="1"/>
    <col min="18" max="18" width="1.375" bestFit="1" customWidth="1"/>
    <col min="23" max="23" width="23.5" style="163" bestFit="1" customWidth="1"/>
  </cols>
  <sheetData>
    <row r="1" spans="1:24">
      <c r="A1" t="s">
        <v>921</v>
      </c>
      <c r="B1" t="s">
        <v>1130</v>
      </c>
      <c r="C1" t="s">
        <v>210</v>
      </c>
      <c r="D1" t="s">
        <v>203</v>
      </c>
      <c r="E1" t="s">
        <v>204</v>
      </c>
      <c r="F1" t="s">
        <v>205</v>
      </c>
      <c r="G1" t="s">
        <v>270</v>
      </c>
      <c r="H1" t="s">
        <v>233</v>
      </c>
      <c r="I1" s="102" t="s">
        <v>206</v>
      </c>
      <c r="J1" s="102" t="s">
        <v>1183</v>
      </c>
      <c r="K1" s="102" t="s">
        <v>1184</v>
      </c>
      <c r="L1" s="102" t="s">
        <v>1185</v>
      </c>
      <c r="M1" t="s">
        <v>92</v>
      </c>
      <c r="N1" t="s">
        <v>1179</v>
      </c>
      <c r="O1" t="s">
        <v>1180</v>
      </c>
      <c r="P1" t="s">
        <v>1181</v>
      </c>
      <c r="Q1" t="s">
        <v>1182</v>
      </c>
      <c r="R1" t="s">
        <v>92</v>
      </c>
      <c r="S1" t="s">
        <v>228</v>
      </c>
      <c r="T1" t="s">
        <v>1116</v>
      </c>
      <c r="U1" t="s">
        <v>1117</v>
      </c>
      <c r="V1" t="s">
        <v>1118</v>
      </c>
      <c r="W1" s="163" t="s">
        <v>1120</v>
      </c>
      <c r="X1" t="s">
        <v>1119</v>
      </c>
    </row>
    <row r="2" spans="1:24">
      <c r="D2"/>
      <c r="E2"/>
      <c r="F2"/>
      <c r="T2" t="s">
        <v>199</v>
      </c>
      <c r="U2" t="s">
        <v>1125</v>
      </c>
      <c r="V2" t="s">
        <v>1123</v>
      </c>
      <c r="W2" s="163" t="str">
        <f t="shared" ref="W2:W10" si="0">IF($T2&lt;&gt;"",$T2&amp;" ","") &amp;IF(ISNUMBER(SEARCH("moon",$U2)),"Moon",IF(ISNUMBER(SEARCH("planet",$U2)),"Planet","WHAT IS THIS")) &amp;IF(ISNUMBER(SEARCH("moon",$U2))," of "&amp;$V2,IF(ISNUMBER(SEARCH("planet",$U2))," "&amp;$C12,))</f>
        <v>Test Moon of Abc</v>
      </c>
      <c r="X2" t="s">
        <v>1124</v>
      </c>
    </row>
    <row r="3" spans="1:24">
      <c r="D3"/>
      <c r="E3"/>
      <c r="F3"/>
      <c r="W3" s="163" t="str">
        <f t="shared" si="0"/>
        <v>WHAT IS THIS</v>
      </c>
    </row>
    <row r="4" spans="1:24">
      <c r="D4"/>
      <c r="E4"/>
      <c r="F4"/>
      <c r="W4" s="163" t="str">
        <f t="shared" si="0"/>
        <v>WHAT IS THIS</v>
      </c>
    </row>
    <row r="5" spans="1:24">
      <c r="D5"/>
      <c r="E5"/>
      <c r="F5"/>
      <c r="W5" s="163" t="str">
        <f t="shared" si="0"/>
        <v>WHAT IS THIS</v>
      </c>
    </row>
    <row r="6" spans="1:24">
      <c r="D6"/>
      <c r="E6"/>
      <c r="F6"/>
      <c r="W6" s="163" t="str">
        <f t="shared" si="0"/>
        <v>WHAT IS THIS</v>
      </c>
    </row>
    <row r="7" spans="1:24">
      <c r="D7"/>
      <c r="E7"/>
      <c r="F7"/>
      <c r="W7" s="163" t="str">
        <f t="shared" si="0"/>
        <v>WHAT IS THIS</v>
      </c>
    </row>
    <row r="8" spans="1:24">
      <c r="D8"/>
      <c r="E8"/>
      <c r="F8"/>
      <c r="W8" s="163" t="str">
        <f t="shared" si="0"/>
        <v>WHAT IS THIS</v>
      </c>
    </row>
    <row r="9" spans="1:24">
      <c r="D9"/>
      <c r="E9"/>
      <c r="F9"/>
      <c r="W9" s="163" t="str">
        <f t="shared" si="0"/>
        <v>WHAT IS THIS</v>
      </c>
    </row>
    <row r="10" spans="1:24">
      <c r="D10"/>
      <c r="E10"/>
      <c r="F10"/>
      <c r="W10" s="163" t="str">
        <f t="shared" si="0"/>
        <v>WHAT IS THIS</v>
      </c>
    </row>
    <row r="11" spans="1:24">
      <c r="D11"/>
      <c r="E11"/>
      <c r="F11"/>
    </row>
    <row r="12" spans="1:24">
      <c r="A12" t="s">
        <v>922</v>
      </c>
      <c r="D12">
        <v>123</v>
      </c>
      <c r="E12">
        <v>789</v>
      </c>
      <c r="F12">
        <v>456</v>
      </c>
      <c r="H12">
        <v>0</v>
      </c>
      <c r="I12" s="102">
        <v>789</v>
      </c>
    </row>
    <row r="13" spans="1:24">
      <c r="C13" t="s">
        <v>923</v>
      </c>
      <c r="D13">
        <v>789</v>
      </c>
      <c r="E13">
        <v>456</v>
      </c>
      <c r="F13">
        <v>123</v>
      </c>
      <c r="H13">
        <v>0</v>
      </c>
      <c r="I13" s="102">
        <v>456</v>
      </c>
    </row>
    <row r="14" spans="1:24">
      <c r="D14">
        <v>456</v>
      </c>
      <c r="E14">
        <v>123</v>
      </c>
      <c r="F14">
        <v>789</v>
      </c>
      <c r="H14">
        <v>0</v>
      </c>
      <c r="I14" s="102">
        <v>123</v>
      </c>
    </row>
    <row r="15" spans="1:24">
      <c r="D15">
        <v>789</v>
      </c>
      <c r="E15">
        <v>123</v>
      </c>
      <c r="F15">
        <v>456</v>
      </c>
      <c r="H15">
        <v>0</v>
      </c>
      <c r="I15" s="102">
        <v>12</v>
      </c>
    </row>
    <row r="16" spans="1:24">
      <c r="A16" t="s">
        <v>927</v>
      </c>
      <c r="D16"/>
      <c r="E16"/>
      <c r="F16"/>
      <c r="H16">
        <v>0</v>
      </c>
      <c r="I16" s="102">
        <v>234</v>
      </c>
    </row>
    <row r="17" spans="1:9">
      <c r="C17" t="s">
        <v>941</v>
      </c>
      <c r="D17"/>
      <c r="E17"/>
      <c r="F17"/>
      <c r="H17">
        <v>0</v>
      </c>
      <c r="I17" s="102">
        <v>123</v>
      </c>
    </row>
    <row r="18" spans="1:9">
      <c r="D18"/>
      <c r="E18"/>
      <c r="F18"/>
      <c r="H18">
        <v>0</v>
      </c>
      <c r="I18" s="102">
        <v>12</v>
      </c>
    </row>
    <row r="19" spans="1:9">
      <c r="D19"/>
      <c r="E19"/>
      <c r="F19"/>
    </row>
    <row r="20" spans="1:9">
      <c r="A20" t="s">
        <v>924</v>
      </c>
      <c r="C20" t="s">
        <v>234</v>
      </c>
      <c r="D20" s="95">
        <v>5</v>
      </c>
      <c r="E20" s="95">
        <v>5</v>
      </c>
      <c r="F20" s="95">
        <v>0</v>
      </c>
      <c r="H20">
        <v>-100</v>
      </c>
      <c r="I20" s="102">
        <v>100</v>
      </c>
    </row>
    <row r="21" spans="1:9">
      <c r="D21" s="95">
        <v>10</v>
      </c>
      <c r="E21" s="95">
        <v>5</v>
      </c>
      <c r="F21" s="95">
        <v>0</v>
      </c>
      <c r="H21">
        <v>-90</v>
      </c>
      <c r="I21" s="102">
        <v>100</v>
      </c>
    </row>
    <row r="22" spans="1:9">
      <c r="D22" s="95">
        <v>15</v>
      </c>
      <c r="E22" s="95">
        <v>5</v>
      </c>
      <c r="F22" s="95">
        <v>0</v>
      </c>
      <c r="H22">
        <v>-80</v>
      </c>
      <c r="I22" s="102">
        <v>100</v>
      </c>
    </row>
    <row r="23" spans="1:9">
      <c r="D23" s="95">
        <v>20</v>
      </c>
      <c r="E23" s="95">
        <v>5</v>
      </c>
      <c r="F23" s="95">
        <v>0</v>
      </c>
      <c r="H23">
        <v>-70</v>
      </c>
      <c r="I23" s="102">
        <v>100</v>
      </c>
    </row>
    <row r="24" spans="1:9">
      <c r="D24" s="95">
        <v>25</v>
      </c>
      <c r="E24" s="95">
        <v>5</v>
      </c>
      <c r="F24" s="95">
        <v>0</v>
      </c>
      <c r="H24">
        <v>-60</v>
      </c>
      <c r="I24" s="102">
        <v>100</v>
      </c>
    </row>
    <row r="25" spans="1:9">
      <c r="D25" s="95">
        <v>30</v>
      </c>
      <c r="E25" s="95">
        <v>5</v>
      </c>
      <c r="F25" s="95">
        <v>0</v>
      </c>
      <c r="H25">
        <v>-50</v>
      </c>
      <c r="I25" s="102">
        <v>100</v>
      </c>
    </row>
    <row r="26" spans="1:9">
      <c r="D26" s="95">
        <v>35</v>
      </c>
      <c r="E26" s="95">
        <v>5</v>
      </c>
      <c r="F26" s="95">
        <v>0</v>
      </c>
      <c r="H26">
        <v>-40</v>
      </c>
      <c r="I26" s="102">
        <v>100</v>
      </c>
    </row>
    <row r="27" spans="1:9">
      <c r="D27" s="95">
        <v>40</v>
      </c>
      <c r="E27" s="95">
        <v>5</v>
      </c>
      <c r="F27" s="95">
        <v>0</v>
      </c>
      <c r="H27">
        <v>-30</v>
      </c>
      <c r="I27" s="102">
        <v>100</v>
      </c>
    </row>
    <row r="28" spans="1:9">
      <c r="D28" s="95">
        <v>45</v>
      </c>
      <c r="E28" s="95">
        <v>5</v>
      </c>
      <c r="F28" s="95">
        <v>0</v>
      </c>
      <c r="H28">
        <v>-20</v>
      </c>
      <c r="I28" s="102">
        <v>100</v>
      </c>
    </row>
    <row r="29" spans="1:9">
      <c r="D29" s="95">
        <v>50</v>
      </c>
      <c r="E29" s="95">
        <v>5</v>
      </c>
      <c r="F29" s="95">
        <v>0</v>
      </c>
      <c r="H29">
        <v>-10</v>
      </c>
      <c r="I29" s="102">
        <v>100</v>
      </c>
    </row>
    <row r="30" spans="1:9">
      <c r="D30" s="95">
        <v>55</v>
      </c>
      <c r="E30" s="95">
        <v>5</v>
      </c>
      <c r="F30" s="95">
        <v>0</v>
      </c>
      <c r="H30">
        <v>0</v>
      </c>
      <c r="I30" s="102">
        <v>100</v>
      </c>
    </row>
    <row r="31" spans="1:9">
      <c r="D31" s="95">
        <v>60</v>
      </c>
      <c r="E31" s="95">
        <v>5</v>
      </c>
      <c r="F31" s="95">
        <v>0</v>
      </c>
      <c r="H31">
        <v>10</v>
      </c>
      <c r="I31" s="102">
        <v>100</v>
      </c>
    </row>
    <row r="32" spans="1:9">
      <c r="D32" s="95">
        <v>65</v>
      </c>
      <c r="E32" s="95">
        <v>5</v>
      </c>
      <c r="F32" s="95">
        <v>0</v>
      </c>
      <c r="H32">
        <v>20</v>
      </c>
      <c r="I32" s="102">
        <v>100</v>
      </c>
    </row>
    <row r="33" spans="1:19">
      <c r="D33" s="95">
        <v>70</v>
      </c>
      <c r="E33" s="95">
        <v>5</v>
      </c>
      <c r="F33" s="95">
        <v>0</v>
      </c>
      <c r="H33">
        <v>30</v>
      </c>
      <c r="I33" s="102">
        <v>100</v>
      </c>
    </row>
    <row r="34" spans="1:19">
      <c r="D34" s="95">
        <v>75</v>
      </c>
      <c r="E34" s="95">
        <v>5</v>
      </c>
      <c r="F34" s="95">
        <v>0</v>
      </c>
      <c r="H34">
        <v>40</v>
      </c>
      <c r="I34" s="102">
        <v>100</v>
      </c>
    </row>
    <row r="35" spans="1:19">
      <c r="D35" s="95">
        <v>80</v>
      </c>
      <c r="E35" s="95">
        <v>5</v>
      </c>
      <c r="F35" s="95">
        <v>0</v>
      </c>
      <c r="H35">
        <v>50</v>
      </c>
      <c r="I35" s="102">
        <v>100</v>
      </c>
    </row>
    <row r="36" spans="1:19">
      <c r="D36" s="95">
        <v>85</v>
      </c>
      <c r="E36" s="95">
        <v>5</v>
      </c>
      <c r="F36" s="95">
        <v>0</v>
      </c>
      <c r="H36">
        <v>60</v>
      </c>
      <c r="I36" s="102">
        <v>100</v>
      </c>
    </row>
    <row r="37" spans="1:19">
      <c r="D37" s="95">
        <v>90</v>
      </c>
      <c r="E37" s="95">
        <v>5</v>
      </c>
      <c r="F37" s="95">
        <v>0</v>
      </c>
      <c r="H37">
        <v>70</v>
      </c>
      <c r="I37" s="102">
        <v>100</v>
      </c>
    </row>
    <row r="38" spans="1:19">
      <c r="D38" s="95">
        <v>95</v>
      </c>
      <c r="E38" s="95">
        <v>5</v>
      </c>
      <c r="F38" s="95">
        <v>0</v>
      </c>
      <c r="H38">
        <v>80</v>
      </c>
      <c r="I38" s="102">
        <v>100</v>
      </c>
    </row>
    <row r="39" spans="1:19">
      <c r="D39" s="95">
        <v>100</v>
      </c>
      <c r="E39" s="95">
        <v>5</v>
      </c>
      <c r="F39" s="95">
        <v>0</v>
      </c>
      <c r="H39">
        <v>90</v>
      </c>
      <c r="I39" s="102">
        <v>100</v>
      </c>
    </row>
    <row r="40" spans="1:19">
      <c r="C40" t="s">
        <v>235</v>
      </c>
      <c r="D40" s="95">
        <v>105</v>
      </c>
      <c r="E40" s="95">
        <v>5</v>
      </c>
      <c r="F40" s="95">
        <v>0</v>
      </c>
      <c r="H40">
        <v>100</v>
      </c>
      <c r="I40" s="102">
        <v>100</v>
      </c>
    </row>
    <row r="41" spans="1:19">
      <c r="A41" t="s">
        <v>116</v>
      </c>
      <c r="C41" t="s">
        <v>426</v>
      </c>
      <c r="D41" s="95">
        <v>-5</v>
      </c>
      <c r="E41" s="95">
        <f>5</f>
        <v>5</v>
      </c>
      <c r="F41" s="95">
        <v>0</v>
      </c>
      <c r="H41">
        <v>0</v>
      </c>
      <c r="I41" s="102">
        <v>1</v>
      </c>
      <c r="S41" t="s">
        <v>1131</v>
      </c>
    </row>
    <row r="42" spans="1:19">
      <c r="D42" s="95">
        <v>-5</v>
      </c>
      <c r="E42" s="97">
        <f>E41 + (ROW()-22-1)</f>
        <v>24</v>
      </c>
      <c r="F42" s="95">
        <v>0</v>
      </c>
      <c r="H42">
        <v>0</v>
      </c>
      <c r="I42" s="102">
        <v>5</v>
      </c>
    </row>
    <row r="43" spans="1:19">
      <c r="D43" s="95">
        <v>-5</v>
      </c>
      <c r="E43" s="97">
        <f>E42 + (ROW()-22-1)</f>
        <v>44</v>
      </c>
      <c r="F43" s="95">
        <v>0</v>
      </c>
      <c r="H43">
        <v>0</v>
      </c>
      <c r="I43" s="102">
        <v>10</v>
      </c>
    </row>
    <row r="44" spans="1:19">
      <c r="D44" s="95">
        <v>-5</v>
      </c>
      <c r="E44" s="97">
        <f t="shared" ref="E44:E64" si="1">E43 + (ROW()-22-1)</f>
        <v>65</v>
      </c>
      <c r="F44" s="95">
        <v>0</v>
      </c>
      <c r="H44">
        <v>0</v>
      </c>
      <c r="I44" s="102">
        <v>20</v>
      </c>
    </row>
    <row r="45" spans="1:19">
      <c r="D45" s="95">
        <v>-5</v>
      </c>
      <c r="E45" s="97">
        <f t="shared" si="1"/>
        <v>87</v>
      </c>
      <c r="F45" s="95">
        <v>0</v>
      </c>
      <c r="H45">
        <v>0</v>
      </c>
      <c r="I45" s="102">
        <v>30</v>
      </c>
    </row>
    <row r="46" spans="1:19">
      <c r="D46" s="95">
        <v>-5</v>
      </c>
      <c r="E46" s="97">
        <f t="shared" si="1"/>
        <v>110</v>
      </c>
      <c r="F46" s="95">
        <v>0</v>
      </c>
      <c r="H46">
        <v>0</v>
      </c>
      <c r="I46" s="102">
        <v>40</v>
      </c>
    </row>
    <row r="47" spans="1:19">
      <c r="D47" s="95">
        <v>-5</v>
      </c>
      <c r="E47" s="97">
        <f t="shared" si="1"/>
        <v>134</v>
      </c>
      <c r="F47" s="95">
        <v>0</v>
      </c>
      <c r="H47">
        <v>0</v>
      </c>
      <c r="I47" s="102">
        <v>50</v>
      </c>
    </row>
    <row r="48" spans="1:19">
      <c r="D48" s="95">
        <v>-5</v>
      </c>
      <c r="E48" s="97">
        <f t="shared" si="1"/>
        <v>159</v>
      </c>
      <c r="F48" s="95">
        <v>0</v>
      </c>
      <c r="H48">
        <v>0</v>
      </c>
      <c r="I48" s="102">
        <v>80</v>
      </c>
    </row>
    <row r="49" spans="4:19">
      <c r="D49" s="95">
        <v>-5</v>
      </c>
      <c r="E49" s="97">
        <f t="shared" si="1"/>
        <v>185</v>
      </c>
      <c r="F49" s="95">
        <v>0</v>
      </c>
      <c r="H49">
        <v>0</v>
      </c>
      <c r="I49" s="102">
        <v>100</v>
      </c>
    </row>
    <row r="50" spans="4:19">
      <c r="D50" s="95">
        <v>-5</v>
      </c>
      <c r="E50" s="97">
        <f t="shared" si="1"/>
        <v>212</v>
      </c>
      <c r="F50" s="95">
        <v>0</v>
      </c>
      <c r="H50">
        <v>0</v>
      </c>
      <c r="I50" s="102">
        <v>500</v>
      </c>
    </row>
    <row r="51" spans="4:19">
      <c r="D51" s="95">
        <v>-5</v>
      </c>
      <c r="E51" s="97">
        <f t="shared" si="1"/>
        <v>240</v>
      </c>
      <c r="F51" s="95">
        <v>0</v>
      </c>
      <c r="H51">
        <v>0</v>
      </c>
      <c r="I51" s="102">
        <v>800</v>
      </c>
    </row>
    <row r="52" spans="4:19">
      <c r="D52" s="95">
        <v>-5</v>
      </c>
      <c r="E52" s="97">
        <f t="shared" si="1"/>
        <v>269</v>
      </c>
      <c r="F52" s="95">
        <v>0</v>
      </c>
      <c r="H52">
        <v>0</v>
      </c>
      <c r="I52" s="102">
        <v>1000</v>
      </c>
    </row>
    <row r="53" spans="4:19">
      <c r="D53" s="95">
        <v>-5</v>
      </c>
      <c r="E53" s="97">
        <f t="shared" si="1"/>
        <v>299</v>
      </c>
      <c r="F53" s="95">
        <v>0</v>
      </c>
      <c r="H53">
        <v>0</v>
      </c>
      <c r="I53" s="102">
        <v>5000</v>
      </c>
    </row>
    <row r="54" spans="4:19">
      <c r="D54" s="95">
        <v>-5</v>
      </c>
      <c r="E54" s="97">
        <f t="shared" si="1"/>
        <v>330</v>
      </c>
      <c r="F54" s="95">
        <v>0</v>
      </c>
      <c r="H54">
        <v>0</v>
      </c>
      <c r="I54" s="102">
        <v>8000</v>
      </c>
    </row>
    <row r="55" spans="4:19">
      <c r="D55" s="95">
        <v>-5</v>
      </c>
      <c r="E55" s="97">
        <f t="shared" si="1"/>
        <v>362</v>
      </c>
      <c r="F55" s="95">
        <v>0</v>
      </c>
      <c r="H55">
        <v>0</v>
      </c>
      <c r="I55" s="102">
        <v>10000</v>
      </c>
    </row>
    <row r="56" spans="4:19">
      <c r="D56" s="95">
        <v>-5</v>
      </c>
      <c r="E56" s="97">
        <f t="shared" si="1"/>
        <v>395</v>
      </c>
      <c r="F56" s="95">
        <v>0</v>
      </c>
      <c r="H56">
        <v>0</v>
      </c>
      <c r="I56" s="102">
        <v>50000</v>
      </c>
    </row>
    <row r="57" spans="4:19">
      <c r="D57" s="95">
        <v>-5</v>
      </c>
      <c r="E57" s="97">
        <f t="shared" si="1"/>
        <v>429</v>
      </c>
      <c r="F57" s="95">
        <v>0</v>
      </c>
      <c r="H57">
        <v>0</v>
      </c>
      <c r="I57" s="102">
        <v>80000</v>
      </c>
    </row>
    <row r="58" spans="4:19">
      <c r="D58" s="95">
        <v>-5</v>
      </c>
      <c r="E58" s="97">
        <f t="shared" si="1"/>
        <v>464</v>
      </c>
      <c r="F58" s="95">
        <v>0</v>
      </c>
      <c r="H58">
        <v>0</v>
      </c>
      <c r="I58" s="102">
        <v>100000</v>
      </c>
      <c r="S58" t="s">
        <v>1129</v>
      </c>
    </row>
    <row r="59" spans="4:19">
      <c r="D59" s="95">
        <v>-5</v>
      </c>
      <c r="E59" s="97">
        <f t="shared" si="1"/>
        <v>500</v>
      </c>
      <c r="F59" s="95">
        <v>0</v>
      </c>
      <c r="H59">
        <v>0</v>
      </c>
      <c r="I59" s="102">
        <f>I58 + 50000</f>
        <v>150000</v>
      </c>
    </row>
    <row r="60" spans="4:19">
      <c r="D60" s="95">
        <v>-5</v>
      </c>
      <c r="E60" s="97">
        <f t="shared" si="1"/>
        <v>537</v>
      </c>
      <c r="F60" s="95">
        <v>0</v>
      </c>
      <c r="H60">
        <v>0</v>
      </c>
      <c r="I60" s="102">
        <f>I59 + 50000</f>
        <v>200000</v>
      </c>
    </row>
    <row r="61" spans="4:19">
      <c r="D61" s="95">
        <v>-5</v>
      </c>
      <c r="E61" s="97">
        <f>E60 + (ROW()-22-1)</f>
        <v>575</v>
      </c>
      <c r="F61" s="95">
        <v>0</v>
      </c>
      <c r="H61">
        <v>0</v>
      </c>
      <c r="I61" s="102">
        <f>I60 + 100000</f>
        <v>300000</v>
      </c>
      <c r="S61" t="s">
        <v>1132</v>
      </c>
    </row>
    <row r="62" spans="4:19">
      <c r="D62" s="95">
        <v>-5</v>
      </c>
      <c r="E62" s="97">
        <f t="shared" si="1"/>
        <v>614</v>
      </c>
      <c r="F62" s="95">
        <v>0</v>
      </c>
      <c r="H62">
        <v>0</v>
      </c>
      <c r="I62" s="102">
        <v>500000</v>
      </c>
    </row>
    <row r="63" spans="4:19">
      <c r="D63" s="95">
        <v>-5</v>
      </c>
      <c r="E63" s="97">
        <f t="shared" si="1"/>
        <v>654</v>
      </c>
      <c r="F63" s="95">
        <v>0</v>
      </c>
      <c r="H63">
        <v>0</v>
      </c>
      <c r="I63" s="102">
        <v>800000</v>
      </c>
    </row>
    <row r="64" spans="4:19">
      <c r="D64" s="162">
        <v>-5</v>
      </c>
      <c r="E64" s="97">
        <f t="shared" si="1"/>
        <v>695</v>
      </c>
      <c r="F64" s="162">
        <v>0</v>
      </c>
      <c r="H64">
        <v>0</v>
      </c>
      <c r="I64" s="102">
        <v>1000000</v>
      </c>
    </row>
    <row r="65" spans="1:19">
      <c r="C65" t="s">
        <v>425</v>
      </c>
      <c r="D65" s="95">
        <v>-5</v>
      </c>
      <c r="E65" s="97">
        <v>281</v>
      </c>
      <c r="F65" s="95">
        <v>0</v>
      </c>
      <c r="H65">
        <v>0</v>
      </c>
      <c r="I65" s="102">
        <v>2200000</v>
      </c>
      <c r="S65" t="s">
        <v>1133</v>
      </c>
    </row>
    <row r="66" spans="1:19">
      <c r="D66" s="96">
        <f>D65 + (ROW()-22-1)</f>
        <v>38</v>
      </c>
      <c r="E66" s="97">
        <v>281</v>
      </c>
      <c r="F66" s="96">
        <v>0</v>
      </c>
      <c r="H66">
        <v>0</v>
      </c>
      <c r="I66" s="102">
        <v>4800000</v>
      </c>
      <c r="S66" t="s">
        <v>1134</v>
      </c>
    </row>
    <row r="67" spans="1:19">
      <c r="D67" s="96">
        <f t="shared" ref="D67:D75" si="2">D66 + (ROW()-22-1)</f>
        <v>82</v>
      </c>
      <c r="E67" s="97">
        <v>281</v>
      </c>
      <c r="F67" s="96">
        <v>0</v>
      </c>
      <c r="H67">
        <v>0</v>
      </c>
      <c r="I67" s="102">
        <v>5000000</v>
      </c>
    </row>
    <row r="68" spans="1:19">
      <c r="D68" s="96">
        <f t="shared" si="2"/>
        <v>127</v>
      </c>
      <c r="E68" s="97">
        <v>281</v>
      </c>
      <c r="F68" s="96">
        <v>0</v>
      </c>
      <c r="H68">
        <v>0</v>
      </c>
      <c r="I68" s="102">
        <v>8000000</v>
      </c>
    </row>
    <row r="69" spans="1:19">
      <c r="D69" s="96">
        <f t="shared" si="2"/>
        <v>173</v>
      </c>
      <c r="E69" s="97">
        <v>281</v>
      </c>
      <c r="F69" s="96">
        <v>0</v>
      </c>
      <c r="H69">
        <v>0</v>
      </c>
      <c r="I69" s="102">
        <v>10000000</v>
      </c>
    </row>
    <row r="70" spans="1:19">
      <c r="D70" s="96">
        <f t="shared" si="2"/>
        <v>220</v>
      </c>
      <c r="E70" s="97">
        <v>281</v>
      </c>
      <c r="F70" s="96">
        <v>0</v>
      </c>
      <c r="H70">
        <v>0</v>
      </c>
      <c r="I70" s="102">
        <v>50000000</v>
      </c>
    </row>
    <row r="71" spans="1:19">
      <c r="D71" s="96">
        <f t="shared" si="2"/>
        <v>268</v>
      </c>
      <c r="E71" s="97">
        <v>281</v>
      </c>
      <c r="F71" s="96">
        <v>0</v>
      </c>
      <c r="H71">
        <v>0</v>
      </c>
      <c r="I71" s="102">
        <v>80000000</v>
      </c>
    </row>
    <row r="72" spans="1:19">
      <c r="D72" s="96">
        <f t="shared" si="2"/>
        <v>317</v>
      </c>
      <c r="E72" s="97">
        <v>281</v>
      </c>
      <c r="F72" s="96">
        <v>0</v>
      </c>
      <c r="H72">
        <v>0</v>
      </c>
      <c r="I72" s="102">
        <v>100000000</v>
      </c>
      <c r="S72" t="s">
        <v>1135</v>
      </c>
    </row>
    <row r="73" spans="1:19">
      <c r="D73" s="96">
        <f t="shared" si="2"/>
        <v>367</v>
      </c>
      <c r="E73" s="97">
        <v>281</v>
      </c>
      <c r="F73" s="96">
        <v>0</v>
      </c>
      <c r="H73">
        <v>0</v>
      </c>
      <c r="I73" s="102">
        <v>120000000</v>
      </c>
      <c r="S73" t="s">
        <v>1136</v>
      </c>
    </row>
    <row r="74" spans="1:19">
      <c r="D74" s="96">
        <f t="shared" si="2"/>
        <v>418</v>
      </c>
      <c r="E74" s="97">
        <v>281</v>
      </c>
      <c r="F74" s="96">
        <v>0</v>
      </c>
      <c r="H74">
        <v>0</v>
      </c>
      <c r="I74" s="102">
        <v>500000000</v>
      </c>
    </row>
    <row r="75" spans="1:19">
      <c r="D75" s="96">
        <f t="shared" si="2"/>
        <v>470</v>
      </c>
      <c r="E75" s="97">
        <v>281</v>
      </c>
      <c r="F75" s="96">
        <v>0</v>
      </c>
      <c r="H75">
        <v>0</v>
      </c>
      <c r="I75" s="102">
        <v>1000000000</v>
      </c>
    </row>
    <row r="76" spans="1:19">
      <c r="D76" s="96">
        <v>280</v>
      </c>
      <c r="E76" s="97">
        <f>E75 + (ROW()-22-100)</f>
        <v>235</v>
      </c>
      <c r="F76" s="96">
        <v>0</v>
      </c>
      <c r="H76">
        <v>0</v>
      </c>
      <c r="I76" s="102">
        <v>10000000000</v>
      </c>
    </row>
    <row r="77" spans="1:19">
      <c r="D77" s="96">
        <v>280</v>
      </c>
      <c r="E77" s="97">
        <f t="shared" ref="E77:E78" si="3">E76 + (ROW()-22-100)</f>
        <v>190</v>
      </c>
      <c r="F77" s="96">
        <v>0</v>
      </c>
      <c r="H77">
        <v>0</v>
      </c>
      <c r="I77" s="102">
        <v>100000000000</v>
      </c>
    </row>
    <row r="78" spans="1:19">
      <c r="D78" s="96">
        <v>280</v>
      </c>
      <c r="E78" s="97">
        <f t="shared" si="3"/>
        <v>146</v>
      </c>
      <c r="F78" s="96">
        <v>0</v>
      </c>
      <c r="H78">
        <v>0</v>
      </c>
      <c r="I78" s="158">
        <v>300000000000</v>
      </c>
      <c r="J78" s="158"/>
      <c r="K78" s="158"/>
      <c r="L78" s="158"/>
      <c r="S78" t="s">
        <v>1137</v>
      </c>
    </row>
    <row r="79" spans="1:19">
      <c r="A79" t="s">
        <v>925</v>
      </c>
      <c r="C79" t="s">
        <v>278</v>
      </c>
      <c r="D79" s="95">
        <v>-5</v>
      </c>
      <c r="E79" s="95">
        <v>-5</v>
      </c>
      <c r="F79" s="95">
        <v>5</v>
      </c>
      <c r="G79" t="s">
        <v>278</v>
      </c>
      <c r="H79" s="96">
        <v>1</v>
      </c>
      <c r="I79" s="102">
        <v>100</v>
      </c>
    </row>
    <row r="80" spans="1:19">
      <c r="C80" t="s">
        <v>279</v>
      </c>
      <c r="D80" s="95">
        <v>-5</v>
      </c>
      <c r="E80" s="95">
        <v>-5</v>
      </c>
      <c r="F80" s="95">
        <v>7</v>
      </c>
      <c r="G80" t="s">
        <v>279</v>
      </c>
      <c r="H80" s="96">
        <v>2</v>
      </c>
      <c r="I80" s="102">
        <v>100</v>
      </c>
    </row>
    <row r="81" spans="3:9">
      <c r="C81" t="s">
        <v>280</v>
      </c>
      <c r="D81" s="95">
        <v>-5</v>
      </c>
      <c r="E81" s="95">
        <v>-5</v>
      </c>
      <c r="F81" s="95">
        <v>9</v>
      </c>
      <c r="G81" t="s">
        <v>280</v>
      </c>
      <c r="H81" s="96">
        <v>3</v>
      </c>
      <c r="I81" s="102">
        <v>100</v>
      </c>
    </row>
    <row r="82" spans="3:9">
      <c r="C82" t="s">
        <v>281</v>
      </c>
      <c r="D82" s="95">
        <v>-5</v>
      </c>
      <c r="E82" s="95">
        <v>-5</v>
      </c>
      <c r="F82" s="95">
        <v>11</v>
      </c>
      <c r="G82" t="s">
        <v>281</v>
      </c>
      <c r="H82" s="96">
        <v>4</v>
      </c>
      <c r="I82" s="102">
        <v>100</v>
      </c>
    </row>
    <row r="83" spans="3:9">
      <c r="C83" t="s">
        <v>282</v>
      </c>
      <c r="D83" s="95">
        <v>-5</v>
      </c>
      <c r="E83" s="95">
        <v>-5</v>
      </c>
      <c r="F83" s="95">
        <v>13</v>
      </c>
      <c r="G83" t="s">
        <v>282</v>
      </c>
      <c r="H83" s="96">
        <v>5</v>
      </c>
      <c r="I83" s="102">
        <v>100</v>
      </c>
    </row>
    <row r="84" spans="3:9">
      <c r="C84" t="s">
        <v>283</v>
      </c>
      <c r="D84" s="95">
        <v>-5</v>
      </c>
      <c r="E84" s="95">
        <v>-5</v>
      </c>
      <c r="F84" s="95">
        <v>15</v>
      </c>
      <c r="G84" t="s">
        <v>283</v>
      </c>
      <c r="I84" s="102">
        <v>100</v>
      </c>
    </row>
    <row r="85" spans="3:9">
      <c r="C85" t="s">
        <v>284</v>
      </c>
      <c r="D85" s="95">
        <v>-5</v>
      </c>
      <c r="E85" s="95">
        <v>-5</v>
      </c>
      <c r="F85" s="95">
        <v>17</v>
      </c>
      <c r="G85" t="s">
        <v>284</v>
      </c>
      <c r="I85" s="102">
        <v>100</v>
      </c>
    </row>
    <row r="86" spans="3:9">
      <c r="C86" t="s">
        <v>285</v>
      </c>
      <c r="D86" s="95">
        <v>-5</v>
      </c>
      <c r="E86" s="95">
        <v>-5</v>
      </c>
      <c r="F86" s="95">
        <v>19</v>
      </c>
      <c r="G86" t="s">
        <v>285</v>
      </c>
      <c r="I86" s="102">
        <v>100</v>
      </c>
    </row>
    <row r="87" spans="3:9">
      <c r="C87" t="s">
        <v>286</v>
      </c>
      <c r="D87" s="95">
        <v>-5</v>
      </c>
      <c r="E87" s="95">
        <v>-5</v>
      </c>
      <c r="F87" s="95">
        <v>21</v>
      </c>
      <c r="G87" t="s">
        <v>286</v>
      </c>
      <c r="I87" s="102">
        <v>100</v>
      </c>
    </row>
    <row r="88" spans="3:9">
      <c r="C88" t="s">
        <v>287</v>
      </c>
      <c r="D88" s="95">
        <v>-5</v>
      </c>
      <c r="E88" s="95">
        <v>-5</v>
      </c>
      <c r="F88" s="95">
        <v>23</v>
      </c>
      <c r="G88" t="s">
        <v>287</v>
      </c>
      <c r="I88" s="102">
        <v>100</v>
      </c>
    </row>
    <row r="89" spans="3:9">
      <c r="C89" t="s">
        <v>288</v>
      </c>
      <c r="D89" s="95">
        <v>-5</v>
      </c>
      <c r="E89" s="95">
        <v>-5</v>
      </c>
      <c r="F89" s="95">
        <v>25</v>
      </c>
      <c r="G89" t="s">
        <v>288</v>
      </c>
      <c r="I89" s="102">
        <v>100</v>
      </c>
    </row>
    <row r="90" spans="3:9">
      <c r="C90" t="s">
        <v>289</v>
      </c>
      <c r="D90" s="95">
        <v>-5</v>
      </c>
      <c r="E90" s="95">
        <v>-5</v>
      </c>
      <c r="F90" s="95">
        <v>27</v>
      </c>
      <c r="G90" t="s">
        <v>289</v>
      </c>
      <c r="I90" s="102">
        <v>100</v>
      </c>
    </row>
    <row r="91" spans="3:9">
      <c r="C91" t="s">
        <v>290</v>
      </c>
      <c r="D91" s="95">
        <v>-5</v>
      </c>
      <c r="E91" s="95">
        <v>-5</v>
      </c>
      <c r="F91" s="95">
        <v>29</v>
      </c>
      <c r="G91" t="s">
        <v>290</v>
      </c>
      <c r="I91" s="102">
        <v>100</v>
      </c>
    </row>
    <row r="92" spans="3:9">
      <c r="C92" t="s">
        <v>291</v>
      </c>
      <c r="D92" s="95">
        <v>-5</v>
      </c>
      <c r="E92" s="95">
        <v>-5</v>
      </c>
      <c r="F92" s="95">
        <v>31</v>
      </c>
      <c r="G92" t="s">
        <v>291</v>
      </c>
      <c r="I92" s="102">
        <v>100</v>
      </c>
    </row>
    <row r="93" spans="3:9">
      <c r="C93" t="s">
        <v>292</v>
      </c>
      <c r="D93" s="95">
        <v>-5</v>
      </c>
      <c r="E93" s="95">
        <v>-5</v>
      </c>
      <c r="F93" s="95">
        <v>33</v>
      </c>
      <c r="G93" t="s">
        <v>292</v>
      </c>
      <c r="I93" s="102">
        <v>100</v>
      </c>
    </row>
    <row r="94" spans="3:9">
      <c r="C94" t="s">
        <v>293</v>
      </c>
      <c r="D94" s="95">
        <v>-5</v>
      </c>
      <c r="E94" s="95">
        <v>-5</v>
      </c>
      <c r="F94" s="95">
        <v>35</v>
      </c>
      <c r="G94" t="s">
        <v>293</v>
      </c>
      <c r="I94" s="102">
        <v>100</v>
      </c>
    </row>
    <row r="95" spans="3:9">
      <c r="C95" t="s">
        <v>294</v>
      </c>
      <c r="D95" s="95">
        <v>-5</v>
      </c>
      <c r="E95" s="95">
        <v>-5</v>
      </c>
      <c r="F95" s="95">
        <v>37</v>
      </c>
      <c r="G95" t="s">
        <v>294</v>
      </c>
      <c r="I95" s="102">
        <v>100</v>
      </c>
    </row>
    <row r="96" spans="3:9">
      <c r="C96" t="s">
        <v>295</v>
      </c>
      <c r="D96" s="95">
        <v>-5</v>
      </c>
      <c r="E96" s="95">
        <v>-5</v>
      </c>
      <c r="F96" s="95">
        <v>39</v>
      </c>
      <c r="G96" t="s">
        <v>295</v>
      </c>
      <c r="I96" s="102">
        <v>100</v>
      </c>
    </row>
    <row r="97" spans="3:9">
      <c r="C97" t="s">
        <v>296</v>
      </c>
      <c r="D97" s="95">
        <v>-5</v>
      </c>
      <c r="E97" s="95">
        <v>-5</v>
      </c>
      <c r="F97" s="95">
        <v>41</v>
      </c>
      <c r="G97" t="s">
        <v>296</v>
      </c>
      <c r="I97" s="102">
        <v>100</v>
      </c>
    </row>
    <row r="98" spans="3:9">
      <c r="C98" t="s">
        <v>297</v>
      </c>
      <c r="D98" s="95">
        <v>-5</v>
      </c>
      <c r="E98" s="95">
        <v>-5</v>
      </c>
      <c r="F98" s="95">
        <v>43</v>
      </c>
      <c r="G98" t="s">
        <v>297</v>
      </c>
      <c r="I98" s="102">
        <v>100</v>
      </c>
    </row>
    <row r="99" spans="3:9">
      <c r="C99" t="s">
        <v>298</v>
      </c>
      <c r="D99" s="95">
        <v>-5</v>
      </c>
      <c r="E99" s="95">
        <v>-5</v>
      </c>
      <c r="F99" s="95">
        <v>45</v>
      </c>
      <c r="G99" t="s">
        <v>298</v>
      </c>
      <c r="I99" s="102">
        <v>100</v>
      </c>
    </row>
    <row r="100" spans="3:9">
      <c r="C100" t="s">
        <v>299</v>
      </c>
      <c r="D100" s="95">
        <v>-5</v>
      </c>
      <c r="E100" s="95">
        <v>-5</v>
      </c>
      <c r="F100" s="95">
        <v>47</v>
      </c>
      <c r="G100" t="s">
        <v>299</v>
      </c>
      <c r="I100" s="102">
        <v>100</v>
      </c>
    </row>
    <row r="101" spans="3:9">
      <c r="C101" t="s">
        <v>300</v>
      </c>
      <c r="D101" s="95">
        <v>-5</v>
      </c>
      <c r="E101" s="95">
        <v>-5</v>
      </c>
      <c r="F101" s="95">
        <v>49</v>
      </c>
      <c r="G101" t="s">
        <v>300</v>
      </c>
      <c r="I101" s="102">
        <v>100</v>
      </c>
    </row>
    <row r="102" spans="3:9">
      <c r="C102" t="s">
        <v>301</v>
      </c>
      <c r="D102" s="95">
        <v>-5</v>
      </c>
      <c r="E102" s="95">
        <v>-5</v>
      </c>
      <c r="F102" s="95">
        <v>51</v>
      </c>
      <c r="G102" t="s">
        <v>301</v>
      </c>
      <c r="I102" s="102">
        <v>100</v>
      </c>
    </row>
    <row r="103" spans="3:9">
      <c r="C103" t="s">
        <v>302</v>
      </c>
      <c r="D103" s="95">
        <v>-5</v>
      </c>
      <c r="E103" s="95">
        <v>-5</v>
      </c>
      <c r="F103" s="95">
        <v>53</v>
      </c>
      <c r="G103" t="s">
        <v>302</v>
      </c>
      <c r="I103" s="102">
        <v>100</v>
      </c>
    </row>
    <row r="104" spans="3:9">
      <c r="C104" t="s">
        <v>303</v>
      </c>
      <c r="D104" s="95">
        <v>-5</v>
      </c>
      <c r="E104" s="95">
        <v>-5</v>
      </c>
      <c r="F104" s="95">
        <v>55</v>
      </c>
      <c r="G104" t="s">
        <v>303</v>
      </c>
      <c r="I104" s="102">
        <v>100</v>
      </c>
    </row>
    <row r="105" spans="3:9">
      <c r="C105" t="s">
        <v>304</v>
      </c>
      <c r="D105" s="95">
        <v>-5</v>
      </c>
      <c r="E105" s="95">
        <v>-5</v>
      </c>
      <c r="F105" s="95">
        <v>57</v>
      </c>
      <c r="G105" t="s">
        <v>304</v>
      </c>
      <c r="I105" s="102">
        <v>100</v>
      </c>
    </row>
    <row r="106" spans="3:9">
      <c r="C106" t="s">
        <v>305</v>
      </c>
      <c r="D106" s="95">
        <v>-5</v>
      </c>
      <c r="E106" s="95">
        <v>-5</v>
      </c>
      <c r="F106" s="95">
        <v>59</v>
      </c>
      <c r="G106" t="s">
        <v>305</v>
      </c>
      <c r="I106" s="102">
        <v>100</v>
      </c>
    </row>
    <row r="107" spans="3:9">
      <c r="C107" t="s">
        <v>306</v>
      </c>
      <c r="D107" s="95">
        <v>-5</v>
      </c>
      <c r="E107" s="95">
        <v>-5</v>
      </c>
      <c r="F107" s="95">
        <v>61</v>
      </c>
      <c r="G107" t="s">
        <v>306</v>
      </c>
      <c r="I107" s="102">
        <v>100</v>
      </c>
    </row>
    <row r="108" spans="3:9">
      <c r="C108" t="s">
        <v>307</v>
      </c>
      <c r="D108" s="95">
        <v>-5</v>
      </c>
      <c r="E108" s="95">
        <v>-5</v>
      </c>
      <c r="F108" s="95">
        <v>63</v>
      </c>
      <c r="G108" t="s">
        <v>307</v>
      </c>
      <c r="I108" s="102">
        <v>100</v>
      </c>
    </row>
    <row r="109" spans="3:9">
      <c r="C109" t="s">
        <v>308</v>
      </c>
      <c r="D109" s="95">
        <v>-5</v>
      </c>
      <c r="E109" s="95">
        <v>-5</v>
      </c>
      <c r="F109" s="95">
        <v>65</v>
      </c>
      <c r="G109" t="s">
        <v>308</v>
      </c>
      <c r="I109" s="102">
        <v>100</v>
      </c>
    </row>
    <row r="110" spans="3:9">
      <c r="C110" t="s">
        <v>309</v>
      </c>
      <c r="D110" s="95">
        <v>-5</v>
      </c>
      <c r="E110" s="95">
        <v>-5</v>
      </c>
      <c r="F110" s="95">
        <v>67</v>
      </c>
      <c r="G110" t="s">
        <v>309</v>
      </c>
      <c r="I110" s="102">
        <v>100</v>
      </c>
    </row>
    <row r="111" spans="3:9">
      <c r="C111" t="s">
        <v>310</v>
      </c>
      <c r="D111" s="95">
        <v>-5</v>
      </c>
      <c r="E111" s="95">
        <v>-5</v>
      </c>
      <c r="F111" s="95">
        <v>69</v>
      </c>
      <c r="G111" t="s">
        <v>310</v>
      </c>
      <c r="I111" s="102">
        <v>100</v>
      </c>
    </row>
    <row r="112" spans="3:9">
      <c r="C112" t="s">
        <v>311</v>
      </c>
      <c r="D112" s="95">
        <v>-5</v>
      </c>
      <c r="E112" s="95">
        <v>-5</v>
      </c>
      <c r="F112" s="95">
        <v>71</v>
      </c>
      <c r="G112" t="s">
        <v>311</v>
      </c>
      <c r="I112" s="102">
        <v>100</v>
      </c>
    </row>
    <row r="113" spans="3:9">
      <c r="C113" t="s">
        <v>312</v>
      </c>
      <c r="D113" s="95">
        <v>-5</v>
      </c>
      <c r="E113" s="95">
        <v>-5</v>
      </c>
      <c r="F113" s="95">
        <v>73</v>
      </c>
      <c r="G113" t="s">
        <v>312</v>
      </c>
      <c r="I113" s="102">
        <v>100</v>
      </c>
    </row>
    <row r="114" spans="3:9">
      <c r="C114" t="s">
        <v>313</v>
      </c>
      <c r="D114" s="95">
        <v>-5</v>
      </c>
      <c r="E114" s="95">
        <v>-5</v>
      </c>
      <c r="F114" s="95">
        <v>75</v>
      </c>
      <c r="G114" t="s">
        <v>313</v>
      </c>
      <c r="I114" s="102">
        <v>100</v>
      </c>
    </row>
    <row r="115" spans="3:9">
      <c r="C115" t="s">
        <v>314</v>
      </c>
      <c r="D115" s="95">
        <v>-5</v>
      </c>
      <c r="E115" s="95">
        <v>-5</v>
      </c>
      <c r="F115" s="95">
        <v>77</v>
      </c>
      <c r="G115" t="s">
        <v>314</v>
      </c>
      <c r="I115" s="102">
        <v>100</v>
      </c>
    </row>
    <row r="116" spans="3:9">
      <c r="C116" t="s">
        <v>315</v>
      </c>
      <c r="D116" s="95">
        <v>-5</v>
      </c>
      <c r="E116" s="95">
        <v>-5</v>
      </c>
      <c r="F116" s="95">
        <v>79</v>
      </c>
      <c r="G116" t="s">
        <v>315</v>
      </c>
      <c r="I116" s="102">
        <v>100</v>
      </c>
    </row>
    <row r="117" spans="3:9">
      <c r="C117" t="s">
        <v>316</v>
      </c>
      <c r="D117" s="95">
        <v>-5</v>
      </c>
      <c r="E117" s="95">
        <v>-5</v>
      </c>
      <c r="F117" s="95">
        <v>81</v>
      </c>
      <c r="G117" t="s">
        <v>316</v>
      </c>
      <c r="I117" s="102">
        <v>100</v>
      </c>
    </row>
    <row r="118" spans="3:9">
      <c r="C118" t="s">
        <v>317</v>
      </c>
      <c r="D118" s="95">
        <v>-5</v>
      </c>
      <c r="E118" s="95">
        <v>-5</v>
      </c>
      <c r="F118" s="95">
        <v>83</v>
      </c>
      <c r="G118" t="s">
        <v>317</v>
      </c>
      <c r="I118" s="102">
        <v>100</v>
      </c>
    </row>
    <row r="119" spans="3:9">
      <c r="C119" t="s">
        <v>318</v>
      </c>
      <c r="D119" s="95">
        <v>-5</v>
      </c>
      <c r="E119" s="95">
        <v>-5</v>
      </c>
      <c r="F119" s="95">
        <v>85</v>
      </c>
      <c r="G119" t="s">
        <v>318</v>
      </c>
      <c r="I119" s="102">
        <v>100</v>
      </c>
    </row>
    <row r="120" spans="3:9">
      <c r="C120" t="s">
        <v>319</v>
      </c>
      <c r="D120" s="95">
        <v>-5</v>
      </c>
      <c r="E120" s="95">
        <v>-5</v>
      </c>
      <c r="F120" s="95">
        <v>87</v>
      </c>
      <c r="G120" t="s">
        <v>319</v>
      </c>
      <c r="I120" s="102">
        <v>100</v>
      </c>
    </row>
    <row r="121" spans="3:9">
      <c r="C121" t="s">
        <v>320</v>
      </c>
      <c r="D121" s="95">
        <v>-5</v>
      </c>
      <c r="E121" s="95">
        <v>-5</v>
      </c>
      <c r="F121" s="95">
        <v>89</v>
      </c>
      <c r="G121" t="s">
        <v>320</v>
      </c>
      <c r="I121" s="102">
        <v>100</v>
      </c>
    </row>
    <row r="122" spans="3:9">
      <c r="C122" t="s">
        <v>321</v>
      </c>
      <c r="D122" s="95">
        <v>-5</v>
      </c>
      <c r="E122" s="95">
        <v>-5</v>
      </c>
      <c r="F122" s="95">
        <v>91</v>
      </c>
      <c r="G122" t="s">
        <v>321</v>
      </c>
      <c r="I122" s="102">
        <v>100</v>
      </c>
    </row>
    <row r="123" spans="3:9">
      <c r="C123" t="s">
        <v>322</v>
      </c>
      <c r="D123" s="95">
        <v>-5</v>
      </c>
      <c r="E123" s="95">
        <v>-5</v>
      </c>
      <c r="F123" s="95">
        <v>93</v>
      </c>
      <c r="G123" t="s">
        <v>322</v>
      </c>
      <c r="I123" s="102">
        <v>100</v>
      </c>
    </row>
    <row r="124" spans="3:9">
      <c r="C124" t="s">
        <v>323</v>
      </c>
      <c r="D124" s="95">
        <v>-5</v>
      </c>
      <c r="E124" s="95">
        <v>-5</v>
      </c>
      <c r="F124" s="95">
        <v>95</v>
      </c>
      <c r="G124" t="s">
        <v>323</v>
      </c>
      <c r="I124" s="102">
        <v>100</v>
      </c>
    </row>
    <row r="125" spans="3:9">
      <c r="C125" t="s">
        <v>324</v>
      </c>
      <c r="D125" s="95">
        <v>-5</v>
      </c>
      <c r="E125" s="95">
        <v>-5</v>
      </c>
      <c r="F125" s="95">
        <v>97</v>
      </c>
      <c r="G125" t="s">
        <v>324</v>
      </c>
      <c r="I125" s="102">
        <v>100</v>
      </c>
    </row>
    <row r="126" spans="3:9">
      <c r="C126" t="s">
        <v>325</v>
      </c>
      <c r="D126" s="95">
        <v>-5</v>
      </c>
      <c r="E126" s="95">
        <v>-5</v>
      </c>
      <c r="F126" s="95">
        <v>99</v>
      </c>
      <c r="G126" t="s">
        <v>325</v>
      </c>
      <c r="I126" s="102">
        <v>100</v>
      </c>
    </row>
    <row r="127" spans="3:9">
      <c r="C127" t="s">
        <v>326</v>
      </c>
      <c r="D127" s="95">
        <v>-5</v>
      </c>
      <c r="E127" s="95">
        <v>-5</v>
      </c>
      <c r="F127" s="95">
        <v>101</v>
      </c>
      <c r="G127" t="s">
        <v>326</v>
      </c>
      <c r="I127" s="102">
        <v>100</v>
      </c>
    </row>
    <row r="128" spans="3:9">
      <c r="C128" t="s">
        <v>327</v>
      </c>
      <c r="D128" s="95">
        <v>-5</v>
      </c>
      <c r="E128" s="95">
        <v>-5</v>
      </c>
      <c r="F128" s="95">
        <v>103</v>
      </c>
      <c r="G128" t="s">
        <v>327</v>
      </c>
      <c r="I128" s="102">
        <v>100</v>
      </c>
    </row>
    <row r="129" spans="3:9">
      <c r="C129" t="s">
        <v>328</v>
      </c>
      <c r="D129" s="95">
        <v>-5</v>
      </c>
      <c r="E129" s="95">
        <v>-5</v>
      </c>
      <c r="F129" s="95">
        <v>105</v>
      </c>
      <c r="G129" t="s">
        <v>328</v>
      </c>
      <c r="I129" s="102">
        <v>100</v>
      </c>
    </row>
    <row r="130" spans="3:9">
      <c r="C130" t="s">
        <v>329</v>
      </c>
      <c r="D130" s="95">
        <v>-5</v>
      </c>
      <c r="E130" s="95">
        <v>-5</v>
      </c>
      <c r="F130" s="95">
        <v>107</v>
      </c>
      <c r="G130" t="s">
        <v>329</v>
      </c>
      <c r="I130" s="102">
        <v>100</v>
      </c>
    </row>
    <row r="131" spans="3:9">
      <c r="C131" t="s">
        <v>330</v>
      </c>
      <c r="D131" s="95">
        <v>-5</v>
      </c>
      <c r="E131" s="95">
        <v>-5</v>
      </c>
      <c r="F131" s="95">
        <v>109</v>
      </c>
      <c r="G131" t="s">
        <v>330</v>
      </c>
      <c r="I131" s="102">
        <v>100</v>
      </c>
    </row>
    <row r="132" spans="3:9">
      <c r="C132" t="s">
        <v>331</v>
      </c>
      <c r="D132" s="95">
        <v>-5</v>
      </c>
      <c r="E132" s="95">
        <v>-5</v>
      </c>
      <c r="F132" s="95">
        <v>111</v>
      </c>
      <c r="G132" t="s">
        <v>331</v>
      </c>
      <c r="I132" s="102">
        <v>100</v>
      </c>
    </row>
    <row r="133" spans="3:9">
      <c r="C133" t="s">
        <v>332</v>
      </c>
      <c r="D133" s="95">
        <v>-5</v>
      </c>
      <c r="E133" s="95">
        <v>-5</v>
      </c>
      <c r="F133" s="95">
        <v>113</v>
      </c>
      <c r="G133" t="s">
        <v>332</v>
      </c>
      <c r="I133" s="102">
        <v>100</v>
      </c>
    </row>
    <row r="134" spans="3:9">
      <c r="C134" t="s">
        <v>333</v>
      </c>
      <c r="D134" s="95">
        <v>-5</v>
      </c>
      <c r="E134" s="95">
        <v>-5</v>
      </c>
      <c r="F134" s="95">
        <v>115</v>
      </c>
      <c r="G134" t="s">
        <v>333</v>
      </c>
      <c r="I134" s="102">
        <v>100</v>
      </c>
    </row>
    <row r="135" spans="3:9">
      <c r="C135" t="s">
        <v>334</v>
      </c>
      <c r="D135" s="95">
        <v>-5</v>
      </c>
      <c r="E135" s="95">
        <v>-5</v>
      </c>
      <c r="F135" s="95">
        <v>117</v>
      </c>
      <c r="G135" t="s">
        <v>334</v>
      </c>
      <c r="I135" s="102">
        <v>100</v>
      </c>
    </row>
    <row r="136" spans="3:9">
      <c r="C136" t="s">
        <v>335</v>
      </c>
      <c r="D136" s="95">
        <v>-5</v>
      </c>
      <c r="E136" s="95">
        <v>-5</v>
      </c>
      <c r="F136" s="95">
        <v>119</v>
      </c>
      <c r="G136" t="s">
        <v>335</v>
      </c>
      <c r="I136" s="102">
        <v>100</v>
      </c>
    </row>
    <row r="137" spans="3:9">
      <c r="C137" t="s">
        <v>336</v>
      </c>
      <c r="D137" s="95">
        <v>-5</v>
      </c>
      <c r="E137" s="95">
        <v>-5</v>
      </c>
      <c r="F137" s="95">
        <v>121</v>
      </c>
      <c r="G137" t="s">
        <v>336</v>
      </c>
      <c r="I137" s="102">
        <v>100</v>
      </c>
    </row>
    <row r="138" spans="3:9">
      <c r="C138" t="s">
        <v>337</v>
      </c>
      <c r="D138" s="95">
        <v>-5</v>
      </c>
      <c r="E138" s="95">
        <v>-5</v>
      </c>
      <c r="F138" s="95">
        <v>123</v>
      </c>
      <c r="G138" t="s">
        <v>337</v>
      </c>
      <c r="I138" s="102">
        <v>100</v>
      </c>
    </row>
    <row r="139" spans="3:9">
      <c r="C139" t="s">
        <v>338</v>
      </c>
      <c r="D139" s="95">
        <v>-5</v>
      </c>
      <c r="E139" s="95">
        <v>-5</v>
      </c>
      <c r="F139" s="95">
        <v>125</v>
      </c>
      <c r="G139" t="s">
        <v>338</v>
      </c>
      <c r="I139" s="102">
        <v>100</v>
      </c>
    </row>
    <row r="140" spans="3:9">
      <c r="C140" t="s">
        <v>339</v>
      </c>
      <c r="D140" s="95">
        <v>-5</v>
      </c>
      <c r="E140" s="95">
        <v>-5</v>
      </c>
      <c r="F140" s="95">
        <v>127</v>
      </c>
      <c r="G140" t="s">
        <v>339</v>
      </c>
      <c r="I140" s="102">
        <v>100</v>
      </c>
    </row>
    <row r="141" spans="3:9">
      <c r="C141" t="s">
        <v>340</v>
      </c>
      <c r="D141" s="95">
        <v>-5</v>
      </c>
      <c r="E141" s="95">
        <v>-5</v>
      </c>
      <c r="F141" s="95">
        <v>129</v>
      </c>
      <c r="G141" t="s">
        <v>340</v>
      </c>
      <c r="I141" s="102">
        <v>100</v>
      </c>
    </row>
    <row r="142" spans="3:9">
      <c r="C142" t="s">
        <v>341</v>
      </c>
      <c r="D142" s="95">
        <v>-5</v>
      </c>
      <c r="E142" s="95">
        <v>-5</v>
      </c>
      <c r="F142" s="95">
        <v>131</v>
      </c>
      <c r="G142" t="s">
        <v>341</v>
      </c>
      <c r="I142" s="102">
        <v>100</v>
      </c>
    </row>
    <row r="143" spans="3:9">
      <c r="C143" t="s">
        <v>342</v>
      </c>
      <c r="D143" s="95">
        <v>-5</v>
      </c>
      <c r="E143" s="95">
        <v>-5</v>
      </c>
      <c r="F143" s="95">
        <v>133</v>
      </c>
      <c r="G143" t="s">
        <v>342</v>
      </c>
      <c r="I143" s="102">
        <v>100</v>
      </c>
    </row>
    <row r="144" spans="3:9">
      <c r="C144" t="s">
        <v>343</v>
      </c>
      <c r="D144" s="95">
        <v>-5</v>
      </c>
      <c r="E144" s="95">
        <v>-5</v>
      </c>
      <c r="F144" s="95">
        <v>135</v>
      </c>
      <c r="G144" t="s">
        <v>343</v>
      </c>
      <c r="I144" s="102">
        <v>100</v>
      </c>
    </row>
    <row r="145" spans="3:9">
      <c r="C145" t="s">
        <v>344</v>
      </c>
      <c r="D145" s="95">
        <v>-5</v>
      </c>
      <c r="E145" s="95">
        <v>-5</v>
      </c>
      <c r="F145" s="95">
        <v>137</v>
      </c>
      <c r="G145" t="s">
        <v>344</v>
      </c>
      <c r="I145" s="102">
        <v>100</v>
      </c>
    </row>
    <row r="146" spans="3:9">
      <c r="C146" t="s">
        <v>345</v>
      </c>
      <c r="D146" s="95">
        <v>-5</v>
      </c>
      <c r="E146" s="95">
        <v>-5</v>
      </c>
      <c r="F146" s="95">
        <v>139</v>
      </c>
      <c r="G146" t="s">
        <v>345</v>
      </c>
      <c r="I146" s="102">
        <v>100</v>
      </c>
    </row>
    <row r="147" spans="3:9">
      <c r="C147" t="s">
        <v>346</v>
      </c>
      <c r="D147" s="95">
        <v>-5</v>
      </c>
      <c r="E147" s="95">
        <v>-5</v>
      </c>
      <c r="F147" s="95">
        <v>141</v>
      </c>
      <c r="G147" t="s">
        <v>346</v>
      </c>
      <c r="I147" s="102">
        <v>100</v>
      </c>
    </row>
    <row r="148" spans="3:9">
      <c r="C148" t="s">
        <v>347</v>
      </c>
      <c r="D148" s="95">
        <v>-5</v>
      </c>
      <c r="E148" s="95">
        <v>-5</v>
      </c>
      <c r="F148" s="95">
        <v>143</v>
      </c>
      <c r="G148" t="s">
        <v>347</v>
      </c>
      <c r="I148" s="102">
        <v>100</v>
      </c>
    </row>
    <row r="149" spans="3:9">
      <c r="C149" t="s">
        <v>348</v>
      </c>
      <c r="D149" s="95">
        <v>-5</v>
      </c>
      <c r="E149" s="95">
        <v>-5</v>
      </c>
      <c r="F149" s="95">
        <v>145</v>
      </c>
      <c r="G149" t="s">
        <v>348</v>
      </c>
      <c r="I149" s="102">
        <v>100</v>
      </c>
    </row>
    <row r="150" spans="3:9">
      <c r="C150" t="s">
        <v>349</v>
      </c>
      <c r="D150" s="95">
        <v>-5</v>
      </c>
      <c r="E150" s="95">
        <v>-5</v>
      </c>
      <c r="F150" s="95">
        <v>147</v>
      </c>
      <c r="G150" t="s">
        <v>349</v>
      </c>
      <c r="I150" s="102">
        <v>100</v>
      </c>
    </row>
    <row r="151" spans="3:9">
      <c r="C151" t="s">
        <v>350</v>
      </c>
      <c r="D151" s="95">
        <v>-5</v>
      </c>
      <c r="E151" s="95">
        <v>-5</v>
      </c>
      <c r="F151" s="95">
        <v>149</v>
      </c>
      <c r="G151" t="s">
        <v>350</v>
      </c>
      <c r="I151" s="102">
        <v>100</v>
      </c>
    </row>
    <row r="152" spans="3:9">
      <c r="C152" t="s">
        <v>351</v>
      </c>
      <c r="D152" s="95">
        <v>-5</v>
      </c>
      <c r="E152" s="95">
        <v>-5</v>
      </c>
      <c r="F152" s="95">
        <v>151</v>
      </c>
      <c r="G152" t="s">
        <v>351</v>
      </c>
      <c r="I152" s="102">
        <v>100</v>
      </c>
    </row>
    <row r="153" spans="3:9">
      <c r="C153" t="s">
        <v>352</v>
      </c>
      <c r="D153" s="95">
        <v>-5</v>
      </c>
      <c r="E153" s="95">
        <v>-5</v>
      </c>
      <c r="F153" s="95">
        <v>153</v>
      </c>
      <c r="G153" t="s">
        <v>352</v>
      </c>
      <c r="I153" s="102">
        <v>100</v>
      </c>
    </row>
    <row r="154" spans="3:9">
      <c r="C154" t="s">
        <v>353</v>
      </c>
      <c r="D154" s="95">
        <v>-5</v>
      </c>
      <c r="E154" s="95">
        <v>-5</v>
      </c>
      <c r="F154" s="95">
        <v>155</v>
      </c>
      <c r="G154" t="s">
        <v>353</v>
      </c>
      <c r="I154" s="102">
        <v>100</v>
      </c>
    </row>
    <row r="155" spans="3:9">
      <c r="C155" t="s">
        <v>354</v>
      </c>
      <c r="D155" s="95">
        <v>-5</v>
      </c>
      <c r="E155" s="95">
        <v>-5</v>
      </c>
      <c r="F155" s="95">
        <v>157</v>
      </c>
      <c r="G155" t="s">
        <v>354</v>
      </c>
      <c r="I155" s="102">
        <v>100</v>
      </c>
    </row>
    <row r="156" spans="3:9">
      <c r="C156" t="s">
        <v>355</v>
      </c>
      <c r="D156" s="95">
        <v>-5</v>
      </c>
      <c r="E156" s="95">
        <v>-5</v>
      </c>
      <c r="F156" s="95">
        <v>159</v>
      </c>
      <c r="G156" t="s">
        <v>355</v>
      </c>
      <c r="I156" s="102">
        <v>100</v>
      </c>
    </row>
    <row r="157" spans="3:9">
      <c r="C157" t="s">
        <v>356</v>
      </c>
      <c r="D157" s="95">
        <v>-5</v>
      </c>
      <c r="E157" s="95">
        <v>-5</v>
      </c>
      <c r="F157" s="95">
        <v>161</v>
      </c>
      <c r="G157" t="s">
        <v>356</v>
      </c>
      <c r="I157" s="102">
        <v>100</v>
      </c>
    </row>
    <row r="158" spans="3:9">
      <c r="C158" t="s">
        <v>357</v>
      </c>
      <c r="D158" s="95">
        <v>-5</v>
      </c>
      <c r="E158" s="95">
        <v>-5</v>
      </c>
      <c r="F158" s="95">
        <v>163</v>
      </c>
      <c r="G158" t="s">
        <v>357</v>
      </c>
      <c r="I158" s="102">
        <v>100</v>
      </c>
    </row>
    <row r="159" spans="3:9">
      <c r="C159" t="s">
        <v>358</v>
      </c>
      <c r="D159" s="95">
        <v>-5</v>
      </c>
      <c r="E159" s="95">
        <v>-5</v>
      </c>
      <c r="F159" s="95">
        <v>165</v>
      </c>
      <c r="G159" t="s">
        <v>358</v>
      </c>
      <c r="I159" s="102">
        <v>100</v>
      </c>
    </row>
    <row r="160" spans="3:9">
      <c r="C160" t="s">
        <v>359</v>
      </c>
      <c r="D160" s="95">
        <v>-5</v>
      </c>
      <c r="E160" s="95">
        <v>-5</v>
      </c>
      <c r="F160" s="95">
        <v>167</v>
      </c>
      <c r="G160" t="s">
        <v>359</v>
      </c>
      <c r="I160" s="102">
        <v>100</v>
      </c>
    </row>
    <row r="161" spans="3:9">
      <c r="C161" t="s">
        <v>360</v>
      </c>
      <c r="D161" s="95">
        <v>-5</v>
      </c>
      <c r="E161" s="95">
        <v>-5</v>
      </c>
      <c r="F161" s="95">
        <v>169</v>
      </c>
      <c r="G161" t="s">
        <v>360</v>
      </c>
      <c r="I161" s="102">
        <v>100</v>
      </c>
    </row>
    <row r="162" spans="3:9">
      <c r="C162" t="s">
        <v>361</v>
      </c>
      <c r="D162" s="95">
        <v>-5</v>
      </c>
      <c r="E162" s="95">
        <v>-5</v>
      </c>
      <c r="F162" s="95">
        <v>171</v>
      </c>
      <c r="G162" t="s">
        <v>361</v>
      </c>
      <c r="I162" s="102">
        <v>100</v>
      </c>
    </row>
    <row r="163" spans="3:9">
      <c r="C163" t="s">
        <v>362</v>
      </c>
      <c r="D163" s="95">
        <v>-5</v>
      </c>
      <c r="E163" s="95">
        <v>-5</v>
      </c>
      <c r="F163" s="95">
        <v>173</v>
      </c>
      <c r="G163" t="s">
        <v>362</v>
      </c>
      <c r="I163" s="102">
        <v>100</v>
      </c>
    </row>
    <row r="164" spans="3:9">
      <c r="C164" t="s">
        <v>363</v>
      </c>
      <c r="D164" s="95">
        <v>-5</v>
      </c>
      <c r="E164" s="95">
        <v>-5</v>
      </c>
      <c r="F164" s="95">
        <v>175</v>
      </c>
      <c r="G164" t="s">
        <v>363</v>
      </c>
      <c r="I164" s="102">
        <v>100</v>
      </c>
    </row>
    <row r="165" spans="3:9">
      <c r="C165" t="s">
        <v>364</v>
      </c>
      <c r="D165" s="95">
        <v>-5</v>
      </c>
      <c r="E165" s="95">
        <v>-5</v>
      </c>
      <c r="F165" s="95">
        <v>177</v>
      </c>
      <c r="G165" t="s">
        <v>364</v>
      </c>
      <c r="I165" s="102">
        <v>100</v>
      </c>
    </row>
    <row r="166" spans="3:9">
      <c r="C166" t="s">
        <v>420</v>
      </c>
      <c r="D166" s="95">
        <v>-5</v>
      </c>
      <c r="E166" s="95">
        <v>-5</v>
      </c>
      <c r="F166" s="95">
        <v>179</v>
      </c>
      <c r="G166" t="s">
        <v>420</v>
      </c>
      <c r="I166" s="102">
        <v>100</v>
      </c>
    </row>
    <row r="167" spans="3:9">
      <c r="C167" t="s">
        <v>418</v>
      </c>
      <c r="D167" s="95">
        <v>-5</v>
      </c>
      <c r="E167" s="95">
        <v>-5</v>
      </c>
      <c r="F167" s="95">
        <v>181</v>
      </c>
      <c r="G167" t="s">
        <v>418</v>
      </c>
      <c r="I167" s="102">
        <v>100</v>
      </c>
    </row>
    <row r="168" spans="3:9">
      <c r="C168" t="s">
        <v>365</v>
      </c>
      <c r="D168" s="95">
        <v>-5</v>
      </c>
      <c r="E168" s="95">
        <v>-5</v>
      </c>
      <c r="F168" s="95">
        <v>183</v>
      </c>
      <c r="G168" t="s">
        <v>365</v>
      </c>
      <c r="I168" s="102">
        <v>100</v>
      </c>
    </row>
    <row r="169" spans="3:9">
      <c r="C169" t="s">
        <v>421</v>
      </c>
      <c r="D169" s="95">
        <v>-5</v>
      </c>
      <c r="E169" s="95">
        <v>-5</v>
      </c>
      <c r="F169" s="95">
        <v>185</v>
      </c>
      <c r="G169" t="s">
        <v>421</v>
      </c>
      <c r="I169" s="102">
        <v>100</v>
      </c>
    </row>
    <row r="170" spans="3:9">
      <c r="C170" t="s">
        <v>422</v>
      </c>
      <c r="D170" s="95">
        <v>-5</v>
      </c>
      <c r="E170" s="95">
        <v>-5</v>
      </c>
      <c r="F170" s="95">
        <v>187</v>
      </c>
      <c r="G170" t="s">
        <v>422</v>
      </c>
      <c r="I170" s="102">
        <v>100</v>
      </c>
    </row>
    <row r="171" spans="3:9">
      <c r="C171" t="s">
        <v>423</v>
      </c>
      <c r="D171" s="95">
        <v>-5</v>
      </c>
      <c r="E171" s="95">
        <v>-5</v>
      </c>
      <c r="F171" s="95">
        <v>189</v>
      </c>
      <c r="G171" t="s">
        <v>423</v>
      </c>
      <c r="I171" s="102">
        <v>100</v>
      </c>
    </row>
    <row r="172" spans="3:9">
      <c r="C172" t="s">
        <v>424</v>
      </c>
      <c r="D172" s="95">
        <v>-5</v>
      </c>
      <c r="E172" s="95">
        <v>-5</v>
      </c>
      <c r="F172" s="95">
        <v>191</v>
      </c>
      <c r="G172" t="s">
        <v>424</v>
      </c>
      <c r="I172" s="102">
        <v>100</v>
      </c>
    </row>
    <row r="173" spans="3:9">
      <c r="C173" t="s">
        <v>419</v>
      </c>
      <c r="D173" s="95">
        <v>-5</v>
      </c>
      <c r="E173" s="95">
        <v>-5</v>
      </c>
      <c r="F173" s="95">
        <v>193</v>
      </c>
      <c r="G173" t="s">
        <v>419</v>
      </c>
      <c r="I173" s="102">
        <v>100</v>
      </c>
    </row>
    <row r="174" spans="3:9">
      <c r="C174" t="s">
        <v>366</v>
      </c>
      <c r="D174" s="95">
        <v>-5</v>
      </c>
      <c r="E174" s="95">
        <v>-5</v>
      </c>
      <c r="F174" s="95">
        <v>195</v>
      </c>
      <c r="G174" t="s">
        <v>366</v>
      </c>
      <c r="I174" s="102">
        <v>100</v>
      </c>
    </row>
    <row r="175" spans="3:9">
      <c r="C175" t="s">
        <v>367</v>
      </c>
      <c r="D175" s="95">
        <v>-5</v>
      </c>
      <c r="E175" s="95">
        <v>-5</v>
      </c>
      <c r="F175" s="95">
        <v>197</v>
      </c>
      <c r="G175" t="s">
        <v>367</v>
      </c>
      <c r="I175" s="102">
        <v>100</v>
      </c>
    </row>
    <row r="176" spans="3:9">
      <c r="C176" t="s">
        <v>368</v>
      </c>
      <c r="D176" s="95">
        <v>-5</v>
      </c>
      <c r="E176" s="95">
        <v>-5</v>
      </c>
      <c r="F176" s="95">
        <v>199</v>
      </c>
      <c r="G176" t="s">
        <v>368</v>
      </c>
      <c r="I176" s="102">
        <v>100</v>
      </c>
    </row>
    <row r="177" spans="3:9">
      <c r="C177" t="s">
        <v>369</v>
      </c>
      <c r="D177" s="95">
        <v>-5</v>
      </c>
      <c r="E177" s="95">
        <v>-5</v>
      </c>
      <c r="F177" s="95">
        <v>201</v>
      </c>
      <c r="G177" t="s">
        <v>369</v>
      </c>
      <c r="I177" s="102">
        <v>100</v>
      </c>
    </row>
    <row r="178" spans="3:9">
      <c r="C178" t="s">
        <v>370</v>
      </c>
      <c r="D178" s="95">
        <v>-5</v>
      </c>
      <c r="E178" s="95">
        <v>-5</v>
      </c>
      <c r="F178" s="95">
        <v>203</v>
      </c>
      <c r="G178" t="s">
        <v>370</v>
      </c>
      <c r="I178" s="102">
        <v>100</v>
      </c>
    </row>
    <row r="179" spans="3:9">
      <c r="C179" t="s">
        <v>371</v>
      </c>
      <c r="D179" s="95">
        <v>-5</v>
      </c>
      <c r="E179" s="95">
        <v>-5</v>
      </c>
      <c r="F179" s="95">
        <v>205</v>
      </c>
      <c r="G179" t="s">
        <v>371</v>
      </c>
      <c r="I179" s="102">
        <v>100</v>
      </c>
    </row>
    <row r="180" spans="3:9">
      <c r="C180" t="s">
        <v>372</v>
      </c>
      <c r="D180" s="95">
        <v>-5</v>
      </c>
      <c r="E180" s="95">
        <v>-5</v>
      </c>
      <c r="F180" s="95">
        <v>207</v>
      </c>
      <c r="G180" t="s">
        <v>372</v>
      </c>
      <c r="I180" s="102">
        <v>100</v>
      </c>
    </row>
    <row r="181" spans="3:9">
      <c r="C181" t="s">
        <v>373</v>
      </c>
      <c r="D181" s="95">
        <v>-5</v>
      </c>
      <c r="E181" s="95">
        <v>-5</v>
      </c>
      <c r="F181" s="95">
        <v>209</v>
      </c>
      <c r="G181" t="s">
        <v>373</v>
      </c>
      <c r="I181" s="102">
        <v>100</v>
      </c>
    </row>
    <row r="182" spans="3:9">
      <c r="C182" t="s">
        <v>374</v>
      </c>
      <c r="D182" s="95">
        <v>-5</v>
      </c>
      <c r="E182" s="95">
        <v>-5</v>
      </c>
      <c r="F182" s="95">
        <v>211</v>
      </c>
      <c r="G182" t="s">
        <v>374</v>
      </c>
      <c r="I182" s="102">
        <v>100</v>
      </c>
    </row>
    <row r="183" spans="3:9">
      <c r="C183" t="s">
        <v>375</v>
      </c>
      <c r="D183" s="95">
        <v>-5</v>
      </c>
      <c r="E183" s="95">
        <v>-5</v>
      </c>
      <c r="F183" s="95">
        <v>213</v>
      </c>
      <c r="G183" t="s">
        <v>375</v>
      </c>
      <c r="I183" s="102">
        <v>100</v>
      </c>
    </row>
    <row r="184" spans="3:9">
      <c r="C184" t="s">
        <v>376</v>
      </c>
      <c r="D184" s="95">
        <v>-5</v>
      </c>
      <c r="E184" s="95">
        <v>-5</v>
      </c>
      <c r="F184" s="95">
        <v>215</v>
      </c>
      <c r="G184" t="s">
        <v>376</v>
      </c>
      <c r="I184" s="102">
        <v>100</v>
      </c>
    </row>
    <row r="185" spans="3:9">
      <c r="C185" t="s">
        <v>377</v>
      </c>
      <c r="D185" s="95">
        <v>-5</v>
      </c>
      <c r="E185" s="95">
        <v>-5</v>
      </c>
      <c r="F185" s="95">
        <v>217</v>
      </c>
      <c r="G185" t="s">
        <v>377</v>
      </c>
      <c r="I185" s="102">
        <v>100</v>
      </c>
    </row>
    <row r="186" spans="3:9">
      <c r="C186" t="s">
        <v>378</v>
      </c>
      <c r="D186" s="95">
        <v>-5</v>
      </c>
      <c r="E186" s="95">
        <v>-5</v>
      </c>
      <c r="F186" s="95">
        <v>219</v>
      </c>
      <c r="G186" t="s">
        <v>378</v>
      </c>
      <c r="I186" s="102">
        <v>100</v>
      </c>
    </row>
    <row r="187" spans="3:9">
      <c r="C187" t="s">
        <v>379</v>
      </c>
      <c r="D187" s="95">
        <v>-5</v>
      </c>
      <c r="E187" s="95">
        <v>-5</v>
      </c>
      <c r="F187" s="95">
        <v>221</v>
      </c>
      <c r="G187" t="s">
        <v>379</v>
      </c>
      <c r="I187" s="102">
        <v>100</v>
      </c>
    </row>
    <row r="188" spans="3:9">
      <c r="C188" t="s">
        <v>380</v>
      </c>
      <c r="D188" s="95">
        <v>-5</v>
      </c>
      <c r="E188" s="95">
        <v>-5</v>
      </c>
      <c r="F188" s="95">
        <v>223</v>
      </c>
      <c r="G188" t="s">
        <v>380</v>
      </c>
      <c r="I188" s="102">
        <v>100</v>
      </c>
    </row>
    <row r="189" spans="3:9">
      <c r="C189" t="s">
        <v>381</v>
      </c>
      <c r="D189" s="95">
        <v>-5</v>
      </c>
      <c r="E189" s="95">
        <v>-5</v>
      </c>
      <c r="F189" s="95">
        <v>225</v>
      </c>
      <c r="G189" t="s">
        <v>381</v>
      </c>
      <c r="I189" s="102">
        <v>100</v>
      </c>
    </row>
    <row r="190" spans="3:9">
      <c r="C190" t="s">
        <v>382</v>
      </c>
      <c r="D190" s="95">
        <v>-5</v>
      </c>
      <c r="E190" s="95">
        <v>-5</v>
      </c>
      <c r="F190" s="95">
        <v>227</v>
      </c>
      <c r="G190" t="s">
        <v>382</v>
      </c>
      <c r="I190" s="102">
        <v>100</v>
      </c>
    </row>
    <row r="191" spans="3:9">
      <c r="C191" t="s">
        <v>383</v>
      </c>
      <c r="D191" s="95">
        <v>-5</v>
      </c>
      <c r="E191" s="95">
        <v>-5</v>
      </c>
      <c r="F191" s="95">
        <v>229</v>
      </c>
      <c r="G191" t="s">
        <v>383</v>
      </c>
      <c r="I191" s="102">
        <v>100</v>
      </c>
    </row>
    <row r="192" spans="3:9">
      <c r="C192" t="s">
        <v>384</v>
      </c>
      <c r="D192" s="95">
        <v>-5</v>
      </c>
      <c r="E192" s="95">
        <v>-5</v>
      </c>
      <c r="F192" s="95">
        <v>231</v>
      </c>
      <c r="G192" t="s">
        <v>384</v>
      </c>
      <c r="I192" s="102">
        <v>100</v>
      </c>
    </row>
    <row r="193" spans="3:9">
      <c r="C193" t="s">
        <v>385</v>
      </c>
      <c r="D193" s="95">
        <v>-5</v>
      </c>
      <c r="E193" s="95">
        <v>-5</v>
      </c>
      <c r="F193" s="95">
        <v>233</v>
      </c>
      <c r="G193" t="s">
        <v>385</v>
      </c>
      <c r="I193" s="102">
        <v>100</v>
      </c>
    </row>
    <row r="194" spans="3:9">
      <c r="C194" t="s">
        <v>386</v>
      </c>
      <c r="D194" s="95">
        <v>-5</v>
      </c>
      <c r="E194" s="95">
        <v>-5</v>
      </c>
      <c r="F194" s="95">
        <v>235</v>
      </c>
      <c r="G194" t="s">
        <v>386</v>
      </c>
      <c r="I194" s="102">
        <v>100</v>
      </c>
    </row>
    <row r="195" spans="3:9">
      <c r="C195" t="s">
        <v>387</v>
      </c>
      <c r="D195" s="95">
        <v>-5</v>
      </c>
      <c r="E195" s="95">
        <v>-5</v>
      </c>
      <c r="F195" s="95">
        <v>237</v>
      </c>
      <c r="G195" t="s">
        <v>387</v>
      </c>
      <c r="I195" s="102">
        <v>100</v>
      </c>
    </row>
    <row r="196" spans="3:9">
      <c r="C196" t="s">
        <v>388</v>
      </c>
      <c r="D196" s="95">
        <v>-5</v>
      </c>
      <c r="E196" s="95">
        <v>-5</v>
      </c>
      <c r="F196" s="95">
        <v>239</v>
      </c>
      <c r="G196" t="s">
        <v>388</v>
      </c>
      <c r="I196" s="102">
        <v>100</v>
      </c>
    </row>
    <row r="197" spans="3:9">
      <c r="C197" t="s">
        <v>389</v>
      </c>
      <c r="D197" s="95">
        <v>-5</v>
      </c>
      <c r="E197" s="95">
        <v>-5</v>
      </c>
      <c r="F197" s="95">
        <v>241</v>
      </c>
      <c r="G197" t="s">
        <v>389</v>
      </c>
      <c r="I197" s="102">
        <v>100</v>
      </c>
    </row>
    <row r="198" spans="3:9">
      <c r="C198" t="s">
        <v>390</v>
      </c>
      <c r="D198" s="95">
        <v>-5</v>
      </c>
      <c r="E198" s="95">
        <v>-5</v>
      </c>
      <c r="F198" s="95">
        <v>243</v>
      </c>
      <c r="G198" t="s">
        <v>390</v>
      </c>
      <c r="I198" s="102">
        <v>100</v>
      </c>
    </row>
    <row r="199" spans="3:9">
      <c r="C199" t="s">
        <v>391</v>
      </c>
      <c r="D199" s="95">
        <v>-5</v>
      </c>
      <c r="E199" s="95">
        <v>-5</v>
      </c>
      <c r="F199" s="95">
        <v>245</v>
      </c>
      <c r="G199" t="s">
        <v>391</v>
      </c>
      <c r="I199" s="102">
        <v>100</v>
      </c>
    </row>
    <row r="200" spans="3:9">
      <c r="C200" t="s">
        <v>392</v>
      </c>
      <c r="D200" s="95">
        <v>-5</v>
      </c>
      <c r="E200" s="95">
        <v>-5</v>
      </c>
      <c r="F200" s="95">
        <v>247</v>
      </c>
      <c r="G200" t="s">
        <v>392</v>
      </c>
      <c r="I200" s="102">
        <v>100</v>
      </c>
    </row>
    <row r="201" spans="3:9">
      <c r="C201" t="s">
        <v>393</v>
      </c>
      <c r="D201" s="95">
        <v>-5</v>
      </c>
      <c r="E201" s="95">
        <v>-5</v>
      </c>
      <c r="F201" s="95">
        <v>249</v>
      </c>
      <c r="G201" t="s">
        <v>393</v>
      </c>
      <c r="I201" s="102">
        <v>100</v>
      </c>
    </row>
    <row r="202" spans="3:9">
      <c r="C202" t="s">
        <v>394</v>
      </c>
      <c r="D202" s="95">
        <v>-5</v>
      </c>
      <c r="E202" s="95">
        <v>-5</v>
      </c>
      <c r="F202" s="95">
        <v>251</v>
      </c>
      <c r="G202" t="s">
        <v>394</v>
      </c>
      <c r="I202" s="102">
        <v>100</v>
      </c>
    </row>
    <row r="203" spans="3:9">
      <c r="C203" t="s">
        <v>395</v>
      </c>
      <c r="D203" s="95">
        <v>-5</v>
      </c>
      <c r="E203" s="95">
        <v>-5</v>
      </c>
      <c r="F203" s="95">
        <v>253</v>
      </c>
      <c r="G203" t="s">
        <v>395</v>
      </c>
      <c r="I203" s="102">
        <v>100</v>
      </c>
    </row>
    <row r="204" spans="3:9">
      <c r="C204" t="s">
        <v>396</v>
      </c>
      <c r="D204" s="95">
        <v>-5</v>
      </c>
      <c r="E204" s="95">
        <v>-5</v>
      </c>
      <c r="F204" s="95">
        <v>255</v>
      </c>
      <c r="G204" t="s">
        <v>396</v>
      </c>
      <c r="I204" s="102">
        <v>100</v>
      </c>
    </row>
    <row r="205" spans="3:9">
      <c r="C205" t="s">
        <v>397</v>
      </c>
      <c r="D205" s="95">
        <v>-5</v>
      </c>
      <c r="E205" s="95">
        <v>-5</v>
      </c>
      <c r="F205" s="95">
        <v>257</v>
      </c>
      <c r="G205" t="s">
        <v>397</v>
      </c>
      <c r="I205" s="102">
        <v>100</v>
      </c>
    </row>
    <row r="206" spans="3:9">
      <c r="C206" t="s">
        <v>398</v>
      </c>
      <c r="D206" s="95">
        <v>-5</v>
      </c>
      <c r="E206" s="95">
        <v>-5</v>
      </c>
      <c r="F206" s="95">
        <v>259</v>
      </c>
      <c r="G206" t="s">
        <v>398</v>
      </c>
      <c r="I206" s="102">
        <v>100</v>
      </c>
    </row>
    <row r="207" spans="3:9">
      <c r="C207" t="s">
        <v>399</v>
      </c>
      <c r="D207" s="95">
        <v>-5</v>
      </c>
      <c r="E207" s="95">
        <v>-5</v>
      </c>
      <c r="F207" s="95">
        <v>261</v>
      </c>
      <c r="G207" t="s">
        <v>399</v>
      </c>
      <c r="I207" s="102">
        <v>100</v>
      </c>
    </row>
    <row r="208" spans="3:9">
      <c r="C208" t="s">
        <v>400</v>
      </c>
      <c r="D208" s="95">
        <v>-5</v>
      </c>
      <c r="E208" s="95">
        <v>-5</v>
      </c>
      <c r="F208" s="95">
        <v>263</v>
      </c>
      <c r="G208" t="s">
        <v>400</v>
      </c>
      <c r="I208" s="102">
        <v>100</v>
      </c>
    </row>
    <row r="209" spans="3:9">
      <c r="C209" t="s">
        <v>401</v>
      </c>
      <c r="D209" s="95">
        <v>-5</v>
      </c>
      <c r="E209" s="95">
        <v>-5</v>
      </c>
      <c r="F209" s="95">
        <v>265</v>
      </c>
      <c r="G209" t="s">
        <v>401</v>
      </c>
      <c r="I209" s="102">
        <v>100</v>
      </c>
    </row>
    <row r="210" spans="3:9">
      <c r="C210" t="s">
        <v>402</v>
      </c>
      <c r="D210" s="95">
        <v>-5</v>
      </c>
      <c r="E210" s="95">
        <v>-5</v>
      </c>
      <c r="F210" s="95">
        <v>267</v>
      </c>
      <c r="G210" t="s">
        <v>402</v>
      </c>
      <c r="I210" s="102">
        <v>100</v>
      </c>
    </row>
    <row r="211" spans="3:9">
      <c r="C211" t="s">
        <v>403</v>
      </c>
      <c r="D211" s="95">
        <v>-5</v>
      </c>
      <c r="E211" s="95">
        <v>-5</v>
      </c>
      <c r="F211" s="95">
        <v>269</v>
      </c>
      <c r="G211" t="s">
        <v>403</v>
      </c>
      <c r="I211" s="102">
        <v>100</v>
      </c>
    </row>
    <row r="212" spans="3:9">
      <c r="C212" t="s">
        <v>404</v>
      </c>
      <c r="D212" s="95">
        <v>-5</v>
      </c>
      <c r="E212" s="95">
        <v>-5</v>
      </c>
      <c r="F212" s="95">
        <v>271</v>
      </c>
      <c r="G212" t="s">
        <v>404</v>
      </c>
      <c r="I212" s="102">
        <v>100</v>
      </c>
    </row>
    <row r="213" spans="3:9">
      <c r="C213" t="s">
        <v>405</v>
      </c>
      <c r="D213" s="95">
        <v>-5</v>
      </c>
      <c r="E213" s="95">
        <v>-5</v>
      </c>
      <c r="F213" s="95">
        <v>273</v>
      </c>
      <c r="G213" t="s">
        <v>405</v>
      </c>
      <c r="I213" s="102">
        <v>100</v>
      </c>
    </row>
    <row r="214" spans="3:9">
      <c r="C214" t="s">
        <v>406</v>
      </c>
      <c r="D214" s="95">
        <v>-5</v>
      </c>
      <c r="E214" s="95">
        <v>-5</v>
      </c>
      <c r="F214" s="95">
        <v>275</v>
      </c>
      <c r="G214" t="s">
        <v>406</v>
      </c>
      <c r="I214" s="102">
        <v>100</v>
      </c>
    </row>
    <row r="215" spans="3:9">
      <c r="C215" t="s">
        <v>407</v>
      </c>
      <c r="D215" s="95">
        <v>-5</v>
      </c>
      <c r="E215" s="95">
        <v>-5</v>
      </c>
      <c r="F215" s="95">
        <v>277</v>
      </c>
      <c r="G215" t="s">
        <v>407</v>
      </c>
      <c r="I215" s="102">
        <v>100</v>
      </c>
    </row>
    <row r="216" spans="3:9">
      <c r="C216" t="s">
        <v>408</v>
      </c>
      <c r="D216" s="95">
        <v>-5</v>
      </c>
      <c r="E216" s="95">
        <v>-5</v>
      </c>
      <c r="F216" s="95">
        <v>279</v>
      </c>
      <c r="G216" t="s">
        <v>408</v>
      </c>
      <c r="I216" s="102">
        <v>100</v>
      </c>
    </row>
    <row r="217" spans="3:9">
      <c r="C217" t="s">
        <v>409</v>
      </c>
      <c r="D217" s="95">
        <v>-5</v>
      </c>
      <c r="E217" s="95">
        <v>-5</v>
      </c>
      <c r="F217" s="95">
        <v>281</v>
      </c>
      <c r="G217" t="s">
        <v>409</v>
      </c>
      <c r="I217" s="102">
        <v>100</v>
      </c>
    </row>
    <row r="218" spans="3:9">
      <c r="C218" t="s">
        <v>410</v>
      </c>
      <c r="D218" s="95">
        <v>-5</v>
      </c>
      <c r="E218" s="95">
        <v>-5</v>
      </c>
      <c r="F218" s="95">
        <v>283</v>
      </c>
      <c r="G218" t="s">
        <v>410</v>
      </c>
      <c r="I218" s="102">
        <v>100</v>
      </c>
    </row>
    <row r="219" spans="3:9">
      <c r="C219" t="s">
        <v>411</v>
      </c>
      <c r="D219" s="95">
        <v>-5</v>
      </c>
      <c r="E219" s="95">
        <v>-5</v>
      </c>
      <c r="F219" s="95">
        <v>285</v>
      </c>
      <c r="G219" t="s">
        <v>411</v>
      </c>
      <c r="I219" s="102">
        <v>100</v>
      </c>
    </row>
    <row r="220" spans="3:9">
      <c r="C220" t="s">
        <v>412</v>
      </c>
      <c r="D220" s="95">
        <v>-5</v>
      </c>
      <c r="E220" s="95">
        <v>-5</v>
      </c>
      <c r="F220" s="95">
        <v>287</v>
      </c>
      <c r="G220" t="s">
        <v>412</v>
      </c>
      <c r="I220" s="102">
        <v>100</v>
      </c>
    </row>
    <row r="221" spans="3:9">
      <c r="C221" t="s">
        <v>413</v>
      </c>
      <c r="D221" s="95">
        <v>-5</v>
      </c>
      <c r="E221" s="95">
        <v>-5</v>
      </c>
      <c r="F221" s="95">
        <v>289</v>
      </c>
      <c r="G221" t="s">
        <v>413</v>
      </c>
      <c r="I221" s="102">
        <v>100</v>
      </c>
    </row>
    <row r="222" spans="3:9">
      <c r="C222" t="s">
        <v>414</v>
      </c>
      <c r="D222" s="95">
        <v>-5</v>
      </c>
      <c r="E222" s="95">
        <v>-5</v>
      </c>
      <c r="F222" s="95">
        <v>291</v>
      </c>
      <c r="G222" t="s">
        <v>414</v>
      </c>
      <c r="I222" s="102">
        <v>100</v>
      </c>
    </row>
    <row r="223" spans="3:9">
      <c r="C223" t="s">
        <v>271</v>
      </c>
      <c r="D223" s="95">
        <v>-5</v>
      </c>
      <c r="E223" s="95">
        <v>-5</v>
      </c>
      <c r="F223" s="95">
        <v>293</v>
      </c>
      <c r="G223" t="s">
        <v>271</v>
      </c>
      <c r="I223" s="102">
        <v>100</v>
      </c>
    </row>
    <row r="224" spans="3:9">
      <c r="C224" t="s">
        <v>415</v>
      </c>
      <c r="D224" s="95">
        <v>-5</v>
      </c>
      <c r="E224" s="95">
        <v>-5</v>
      </c>
      <c r="F224" s="95">
        <v>295</v>
      </c>
      <c r="G224" t="s">
        <v>415</v>
      </c>
      <c r="I224" s="102">
        <v>100</v>
      </c>
    </row>
    <row r="225" spans="3:9">
      <c r="C225" t="s">
        <v>416</v>
      </c>
      <c r="D225" s="95">
        <v>-5</v>
      </c>
      <c r="E225" s="95">
        <v>-5</v>
      </c>
      <c r="F225" s="95">
        <v>297</v>
      </c>
      <c r="G225" t="s">
        <v>416</v>
      </c>
      <c r="I225" s="102">
        <v>100</v>
      </c>
    </row>
    <row r="226" spans="3:9">
      <c r="C226" t="s">
        <v>417</v>
      </c>
      <c r="D226" s="95">
        <v>-5</v>
      </c>
      <c r="E226" s="95">
        <v>-5</v>
      </c>
      <c r="F226" s="95">
        <v>299</v>
      </c>
      <c r="G226" t="s">
        <v>417</v>
      </c>
      <c r="I226" s="102"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E117C-AF00-44BA-B28F-E8457BA82B2D}">
  <sheetPr>
    <tabColor rgb="FFCC0000"/>
  </sheetPr>
  <dimension ref="A1:P40"/>
  <sheetViews>
    <sheetView zoomScale="95" workbookViewId="0">
      <selection activeCell="F38" sqref="F38"/>
    </sheetView>
  </sheetViews>
  <sheetFormatPr defaultRowHeight="14.3"/>
  <cols>
    <col min="2" max="2" width="9.125" bestFit="1" customWidth="1"/>
    <col min="3" max="3" width="11.375" bestFit="1" customWidth="1"/>
    <col min="4" max="4" width="13.5" bestFit="1" customWidth="1"/>
    <col min="5" max="5" width="17.125" bestFit="1" customWidth="1"/>
    <col min="6" max="6" width="9" style="98"/>
  </cols>
  <sheetData>
    <row r="1" spans="1:6">
      <c r="A1" s="169" t="s">
        <v>982</v>
      </c>
      <c r="B1" s="169"/>
      <c r="C1" s="169"/>
      <c r="D1" s="169"/>
      <c r="E1" s="169"/>
    </row>
    <row r="2" spans="1:6">
      <c r="A2" t="s">
        <v>982</v>
      </c>
      <c r="B2" t="s">
        <v>427</v>
      </c>
      <c r="C2" t="s">
        <v>1001</v>
      </c>
      <c r="D2" t="s">
        <v>1002</v>
      </c>
      <c r="E2" t="s">
        <v>25</v>
      </c>
    </row>
    <row r="3" spans="1:6">
      <c r="A3" t="s">
        <v>986</v>
      </c>
      <c r="B3" s="102">
        <f>B$9</f>
        <v>10650</v>
      </c>
      <c r="C3" s="102">
        <f t="shared" ref="C3:E3" si="0">C$9</f>
        <v>944150</v>
      </c>
      <c r="D3" s="102">
        <f t="shared" si="0"/>
        <v>10308300</v>
      </c>
      <c r="E3" s="102">
        <f t="shared" si="0"/>
        <v>213300000</v>
      </c>
      <c r="F3" s="159" t="s">
        <v>996</v>
      </c>
    </row>
    <row r="4" spans="1:6">
      <c r="A4" t="s">
        <v>988</v>
      </c>
      <c r="B4" s="102">
        <f>B$10-B$9</f>
        <v>14050</v>
      </c>
      <c r="C4" s="102">
        <f t="shared" ref="C4:E4" si="1">C$10-C$9</f>
        <v>555850</v>
      </c>
      <c r="D4" s="102">
        <f t="shared" si="1"/>
        <v>12576700</v>
      </c>
      <c r="E4" s="102">
        <f t="shared" si="1"/>
        <v>73686700000</v>
      </c>
      <c r="F4" s="159" t="s">
        <v>997</v>
      </c>
    </row>
    <row r="5" spans="1:6">
      <c r="A5" t="s">
        <v>987</v>
      </c>
      <c r="B5" s="102">
        <f>B$11-B$10</f>
        <v>5900</v>
      </c>
      <c r="C5" s="102">
        <f t="shared" ref="C5:E5" si="2">C$11-C$10</f>
        <v>450000</v>
      </c>
      <c r="D5" s="102">
        <f t="shared" si="2"/>
        <v>13115000</v>
      </c>
      <c r="E5" s="102">
        <f t="shared" si="2"/>
        <v>140725000000</v>
      </c>
      <c r="F5" s="159" t="s">
        <v>998</v>
      </c>
    </row>
    <row r="6" spans="1:6">
      <c r="A6" t="s">
        <v>989</v>
      </c>
      <c r="B6" s="102">
        <f>B$9-B$8</f>
        <v>10649</v>
      </c>
      <c r="C6" s="102">
        <f t="shared" ref="C6:E6" si="3">C$9-C$8</f>
        <v>558150</v>
      </c>
      <c r="D6" s="102">
        <f t="shared" si="3"/>
        <v>5383900</v>
      </c>
      <c r="E6" s="102">
        <f t="shared" si="3"/>
        <v>213299998</v>
      </c>
      <c r="F6" s="159" t="s">
        <v>999</v>
      </c>
    </row>
    <row r="7" spans="1:6">
      <c r="A7" t="s">
        <v>990</v>
      </c>
      <c r="B7" s="102">
        <f>B$12-B$11</f>
        <v>63400</v>
      </c>
      <c r="C7" s="102">
        <f t="shared" ref="C7:E7" si="4">C$12-C$11</f>
        <v>150000</v>
      </c>
      <c r="D7" s="102">
        <f t="shared" si="4"/>
        <v>64000000</v>
      </c>
      <c r="E7" s="102">
        <f t="shared" si="4"/>
        <v>85375000000</v>
      </c>
      <c r="F7" s="159" t="s">
        <v>1000</v>
      </c>
    </row>
    <row r="8" spans="1:6">
      <c r="A8" t="s">
        <v>919</v>
      </c>
      <c r="B8" s="102">
        <f>MIN(B$15:B$69)</f>
        <v>1</v>
      </c>
      <c r="C8" s="102">
        <f t="shared" ref="C8:E8" si="5">MIN(C$15:C$69)</f>
        <v>386000</v>
      </c>
      <c r="D8" s="102">
        <f t="shared" si="5"/>
        <v>4924400</v>
      </c>
      <c r="E8" s="102">
        <f t="shared" si="5"/>
        <v>2</v>
      </c>
      <c r="F8" s="159" t="s">
        <v>991</v>
      </c>
    </row>
    <row r="9" spans="1:6">
      <c r="A9" t="s">
        <v>983</v>
      </c>
      <c r="B9" s="102">
        <f>_xlfn.QUARTILE.EXC(B$15:B$69,1)</f>
        <v>10650</v>
      </c>
      <c r="C9" s="102">
        <f t="shared" ref="C9:E9" si="6">_xlfn.QUARTILE.EXC(C$15:C$69,1)</f>
        <v>944150</v>
      </c>
      <c r="D9" s="102">
        <f t="shared" si="6"/>
        <v>10308300</v>
      </c>
      <c r="E9" s="102">
        <f t="shared" si="6"/>
        <v>213300000</v>
      </c>
      <c r="F9" s="159" t="s">
        <v>992</v>
      </c>
    </row>
    <row r="10" spans="1:6">
      <c r="A10" t="s">
        <v>984</v>
      </c>
      <c r="B10" s="102">
        <f>_xlfn.QUARTILE.EXC(B$15:B$69,2)</f>
        <v>24700</v>
      </c>
      <c r="C10" s="102">
        <f t="shared" ref="C10:E10" si="7">_xlfn.QUARTILE.EXC(C$15:C$69,2)</f>
        <v>1500000</v>
      </c>
      <c r="D10" s="102">
        <f t="shared" si="7"/>
        <v>22885000</v>
      </c>
      <c r="E10" s="102">
        <f t="shared" si="7"/>
        <v>73900000000</v>
      </c>
      <c r="F10" s="159" t="s">
        <v>993</v>
      </c>
    </row>
    <row r="11" spans="1:6">
      <c r="A11" t="s">
        <v>985</v>
      </c>
      <c r="B11" s="102">
        <f>_xlfn.QUARTILE.EXC(B$15:B$69,3)</f>
        <v>30600</v>
      </c>
      <c r="C11" s="102">
        <f t="shared" ref="C11:E11" si="8">_xlfn.QUARTILE.EXC(C$15:C$69,3)</f>
        <v>1950000</v>
      </c>
      <c r="D11" s="102">
        <f t="shared" si="8"/>
        <v>36000000</v>
      </c>
      <c r="E11" s="102">
        <f t="shared" si="8"/>
        <v>214625000000</v>
      </c>
      <c r="F11" s="159" t="s">
        <v>994</v>
      </c>
    </row>
    <row r="12" spans="1:6">
      <c r="A12" t="s">
        <v>920</v>
      </c>
      <c r="B12" s="102">
        <f>MAX(B$15:B$69)</f>
        <v>94000</v>
      </c>
      <c r="C12" s="102">
        <f t="shared" ref="C12:E12" si="9">MAX(C$15:C$69)</f>
        <v>2100000</v>
      </c>
      <c r="D12" s="102">
        <f t="shared" si="9"/>
        <v>100000000</v>
      </c>
      <c r="E12" s="102">
        <f t="shared" si="9"/>
        <v>300000000000</v>
      </c>
      <c r="F12" s="159" t="s">
        <v>995</v>
      </c>
    </row>
    <row r="13" spans="1:6">
      <c r="A13" s="169" t="s">
        <v>914</v>
      </c>
      <c r="B13" s="169"/>
      <c r="C13" s="169"/>
      <c r="D13" s="169"/>
      <c r="E13" s="169"/>
    </row>
    <row r="14" spans="1:6">
      <c r="B14" t="s">
        <v>915</v>
      </c>
      <c r="C14" t="s">
        <v>916</v>
      </c>
      <c r="D14" t="s">
        <v>917</v>
      </c>
      <c r="E14" t="s">
        <v>918</v>
      </c>
    </row>
    <row r="15" spans="1:6">
      <c r="B15" s="158">
        <v>1</v>
      </c>
      <c r="C15" s="158">
        <v>386000</v>
      </c>
      <c r="D15" s="158">
        <v>4924400</v>
      </c>
      <c r="E15" s="100">
        <v>2</v>
      </c>
    </row>
    <row r="16" spans="1:6">
      <c r="B16" s="158">
        <v>49</v>
      </c>
      <c r="C16" s="158">
        <v>487900</v>
      </c>
      <c r="D16" s="158">
        <v>5072400</v>
      </c>
      <c r="E16" s="158">
        <v>139200000</v>
      </c>
    </row>
    <row r="17" spans="2:16">
      <c r="B17" s="158">
        <v>3100</v>
      </c>
      <c r="C17" s="158">
        <v>677900</v>
      </c>
      <c r="D17" s="158">
        <v>12053600</v>
      </c>
      <c r="E17" s="158">
        <v>238000000</v>
      </c>
    </row>
    <row r="18" spans="2:16">
      <c r="B18" s="158">
        <v>3400</v>
      </c>
      <c r="C18" s="158">
        <v>1210400</v>
      </c>
      <c r="D18" s="158">
        <v>13982000</v>
      </c>
      <c r="E18" s="158">
        <v>616000000</v>
      </c>
    </row>
    <row r="19" spans="2:16">
      <c r="B19" s="158">
        <v>6600</v>
      </c>
      <c r="C19" s="158">
        <v>1274200</v>
      </c>
      <c r="D19" s="158">
        <v>20000000</v>
      </c>
      <c r="E19" s="158">
        <v>7800000000</v>
      </c>
    </row>
    <row r="20" spans="2:16">
      <c r="B20" s="158">
        <v>12000</v>
      </c>
      <c r="C20" s="158">
        <v>1460000</v>
      </c>
      <c r="D20" s="158">
        <v>27960000</v>
      </c>
      <c r="E20" s="158">
        <v>140000000000</v>
      </c>
    </row>
    <row r="21" spans="2:16">
      <c r="B21" s="158">
        <v>20900</v>
      </c>
      <c r="C21" s="158">
        <v>1500000</v>
      </c>
      <c r="D21" s="158">
        <v>25770000</v>
      </c>
      <c r="E21" s="158">
        <v>200000000000</v>
      </c>
    </row>
    <row r="22" spans="2:16">
      <c r="B22" s="158">
        <v>21400</v>
      </c>
      <c r="C22" s="158">
        <v>1600000</v>
      </c>
      <c r="D22" s="158">
        <v>28000000</v>
      </c>
      <c r="E22" s="158">
        <v>214500000000</v>
      </c>
      <c r="P22" s="125"/>
    </row>
    <row r="23" spans="2:16">
      <c r="B23" s="158">
        <v>21700</v>
      </c>
      <c r="C23" s="158">
        <v>1940000</v>
      </c>
      <c r="D23" s="158">
        <v>60000000</v>
      </c>
      <c r="E23" s="158">
        <v>215000000000</v>
      </c>
    </row>
    <row r="24" spans="2:16">
      <c r="B24" s="158">
        <v>22600</v>
      </c>
      <c r="C24" s="158">
        <v>1960000</v>
      </c>
      <c r="D24" s="158">
        <v>100000000</v>
      </c>
      <c r="E24" s="158">
        <v>300000000000</v>
      </c>
    </row>
    <row r="25" spans="2:16">
      <c r="B25" s="158">
        <v>24000</v>
      </c>
      <c r="C25" s="158">
        <v>2000000</v>
      </c>
      <c r="D25" s="157"/>
      <c r="E25" s="157"/>
    </row>
    <row r="26" spans="2:16">
      <c r="B26" s="158">
        <v>25400</v>
      </c>
      <c r="C26" s="158">
        <v>2100000</v>
      </c>
      <c r="D26" s="157"/>
      <c r="E26" s="157"/>
    </row>
    <row r="27" spans="2:16">
      <c r="B27" s="158">
        <v>27000</v>
      </c>
      <c r="C27" s="158">
        <v>1880000</v>
      </c>
      <c r="D27" s="157"/>
      <c r="E27" s="157"/>
    </row>
    <row r="28" spans="2:16">
      <c r="B28" s="158">
        <v>27000</v>
      </c>
      <c r="C28" s="158"/>
      <c r="D28" s="157"/>
      <c r="E28" s="157"/>
    </row>
    <row r="29" spans="2:16">
      <c r="B29" s="158">
        <v>28600</v>
      </c>
      <c r="C29" s="157"/>
      <c r="D29" s="157"/>
      <c r="E29" s="157"/>
    </row>
    <row r="30" spans="2:16">
      <c r="B30" s="158">
        <v>30600</v>
      </c>
      <c r="C30" s="157"/>
      <c r="D30" s="157"/>
      <c r="E30" s="157"/>
    </row>
    <row r="31" spans="2:16">
      <c r="B31" s="158">
        <v>30600</v>
      </c>
      <c r="C31" s="157"/>
      <c r="D31" s="157"/>
      <c r="E31" s="157"/>
    </row>
    <row r="32" spans="2:16">
      <c r="B32" s="158">
        <v>30600</v>
      </c>
      <c r="C32" s="157"/>
      <c r="D32" s="157"/>
      <c r="E32" s="157"/>
    </row>
    <row r="33" spans="2:5">
      <c r="B33" s="158">
        <v>43000</v>
      </c>
      <c r="C33" s="157"/>
      <c r="D33" s="157"/>
      <c r="E33" s="157"/>
    </row>
    <row r="34" spans="2:5">
      <c r="B34" s="158">
        <v>51200</v>
      </c>
      <c r="C34" s="157"/>
      <c r="D34" s="157"/>
      <c r="E34" s="157"/>
    </row>
    <row r="35" spans="2:5">
      <c r="B35" s="158">
        <v>52500</v>
      </c>
      <c r="C35" s="157"/>
      <c r="D35" s="157"/>
      <c r="E35" s="157"/>
    </row>
    <row r="36" spans="2:5">
      <c r="B36" s="158">
        <v>94000</v>
      </c>
      <c r="C36" s="157"/>
      <c r="D36" s="157"/>
      <c r="E36" s="157"/>
    </row>
    <row r="37" spans="2:5">
      <c r="B37" s="158"/>
      <c r="C37" s="157"/>
      <c r="D37" s="157"/>
      <c r="E37" s="157"/>
    </row>
    <row r="38" spans="2:5">
      <c r="C38" s="157"/>
      <c r="D38" s="157"/>
      <c r="E38" s="157"/>
    </row>
    <row r="39" spans="2:5">
      <c r="C39" s="157"/>
      <c r="D39" s="157"/>
      <c r="E39" s="157"/>
    </row>
    <row r="40" spans="2:5">
      <c r="C40" s="157"/>
      <c r="D40" s="157"/>
      <c r="E40" s="157"/>
    </row>
  </sheetData>
  <autoFilter ref="B14:E14" xr:uid="{2D4E117C-AF00-44BA-B28F-E8457BA82B2D}">
    <sortState xmlns:xlrd2="http://schemas.microsoft.com/office/spreadsheetml/2017/richdata2" ref="B15:E36">
      <sortCondition ref="B14"/>
    </sortState>
  </autoFilter>
  <sortState xmlns:xlrd2="http://schemas.microsoft.com/office/spreadsheetml/2017/richdata2" ref="C15:C29">
    <sortCondition ref="C15:C29"/>
  </sortState>
  <mergeCells count="2">
    <mergeCell ref="A1:E1"/>
    <mergeCell ref="A13:E1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EFA0E-AC51-49ED-A4C7-43BE9B8F8B4E}">
  <sheetPr>
    <tabColor rgb="FFFF9999"/>
  </sheetPr>
  <dimension ref="A1:L52"/>
  <sheetViews>
    <sheetView workbookViewId="0">
      <selection activeCell="K43" sqref="K43:K52"/>
    </sheetView>
  </sheetViews>
  <sheetFormatPr defaultColWidth="14.5" defaultRowHeight="14.3"/>
  <cols>
    <col min="4" max="4" width="0.875" bestFit="1" customWidth="1"/>
    <col min="6" max="6" width="16" bestFit="1" customWidth="1"/>
    <col min="7" max="7" width="18.125" bestFit="1" customWidth="1"/>
  </cols>
  <sheetData>
    <row r="1" spans="1:12" ht="28.55">
      <c r="A1" s="99" t="s">
        <v>435</v>
      </c>
      <c r="B1" s="99" t="s">
        <v>436</v>
      </c>
      <c r="C1" s="99" t="s">
        <v>437</v>
      </c>
      <c r="D1" s="99" t="s">
        <v>92</v>
      </c>
      <c r="I1" s="99" t="s">
        <v>978</v>
      </c>
      <c r="J1" s="99" t="s">
        <v>810</v>
      </c>
      <c r="K1" s="99" t="s">
        <v>979</v>
      </c>
      <c r="L1" s="99" t="s">
        <v>980</v>
      </c>
    </row>
    <row r="2" spans="1:12" ht="42.8">
      <c r="A2" s="101" t="s">
        <v>438</v>
      </c>
      <c r="B2" s="100" t="s">
        <v>439</v>
      </c>
      <c r="C2" s="100">
        <v>1</v>
      </c>
      <c r="D2" s="100"/>
      <c r="I2" s="100" t="s">
        <v>961</v>
      </c>
      <c r="J2" s="100">
        <v>306</v>
      </c>
      <c r="K2" s="158">
        <v>30600</v>
      </c>
      <c r="L2" s="100" t="s">
        <v>962</v>
      </c>
    </row>
    <row r="3" spans="1:12" ht="42.8">
      <c r="A3" s="101" t="s">
        <v>427</v>
      </c>
      <c r="B3" s="100" t="s">
        <v>440</v>
      </c>
      <c r="C3" s="100" t="s">
        <v>441</v>
      </c>
      <c r="D3" s="100"/>
      <c r="E3" s="100" t="s">
        <v>956</v>
      </c>
      <c r="F3" s="100">
        <v>0.01</v>
      </c>
      <c r="G3" s="100">
        <v>1</v>
      </c>
      <c r="I3" s="100" t="s">
        <v>963</v>
      </c>
      <c r="J3" s="100">
        <v>306</v>
      </c>
      <c r="K3" s="158">
        <v>30600</v>
      </c>
      <c r="L3" s="100" t="s">
        <v>964</v>
      </c>
    </row>
    <row r="4" spans="1:12" ht="28.55">
      <c r="A4" s="101" t="s">
        <v>442</v>
      </c>
      <c r="B4" s="100" t="s">
        <v>443</v>
      </c>
      <c r="C4" s="100" t="s">
        <v>444</v>
      </c>
      <c r="D4" s="100"/>
      <c r="I4" s="100" t="s">
        <v>965</v>
      </c>
      <c r="J4" s="100">
        <v>270</v>
      </c>
      <c r="K4" s="158">
        <v>27000</v>
      </c>
      <c r="L4" s="100" t="s">
        <v>966</v>
      </c>
    </row>
    <row r="5" spans="1:12" ht="28.55">
      <c r="A5" s="101" t="s">
        <v>445</v>
      </c>
      <c r="B5" s="100" t="s">
        <v>446</v>
      </c>
      <c r="C5" s="100" t="s">
        <v>447</v>
      </c>
      <c r="D5" s="100"/>
      <c r="E5" s="100" t="s">
        <v>957</v>
      </c>
      <c r="F5" s="158">
        <v>3474</v>
      </c>
      <c r="G5" s="158">
        <v>347400</v>
      </c>
      <c r="I5" s="100" t="s">
        <v>967</v>
      </c>
      <c r="J5" s="100">
        <v>286</v>
      </c>
      <c r="K5" s="158">
        <v>28600</v>
      </c>
      <c r="L5" s="100" t="s">
        <v>968</v>
      </c>
    </row>
    <row r="6" spans="1:12" ht="28.55">
      <c r="A6" s="101"/>
      <c r="B6" s="100"/>
      <c r="C6" s="100"/>
      <c r="D6" s="100"/>
      <c r="I6" s="100" t="s">
        <v>969</v>
      </c>
      <c r="J6" s="100">
        <v>120</v>
      </c>
      <c r="K6" s="158">
        <v>12000</v>
      </c>
      <c r="L6" s="100" t="s">
        <v>970</v>
      </c>
    </row>
    <row r="7" spans="1:12" ht="28.55">
      <c r="A7" s="101" t="s">
        <v>448</v>
      </c>
      <c r="B7" s="100" t="s">
        <v>449</v>
      </c>
      <c r="C7" s="100" t="s">
        <v>450</v>
      </c>
      <c r="D7" s="100"/>
      <c r="E7" s="100" t="s">
        <v>958</v>
      </c>
      <c r="F7" s="158">
        <v>12742</v>
      </c>
      <c r="G7" s="158">
        <v>1274200</v>
      </c>
      <c r="I7" s="100" t="s">
        <v>971</v>
      </c>
      <c r="J7" s="100">
        <v>214</v>
      </c>
      <c r="K7" s="158">
        <v>21400</v>
      </c>
      <c r="L7" s="100" t="s">
        <v>972</v>
      </c>
    </row>
    <row r="8" spans="1:12" ht="42.8">
      <c r="D8" s="100"/>
      <c r="E8" s="100" t="s">
        <v>811</v>
      </c>
      <c r="F8" s="158">
        <v>139820</v>
      </c>
      <c r="G8" s="158">
        <v>13982000</v>
      </c>
      <c r="I8" s="100" t="s">
        <v>973</v>
      </c>
      <c r="J8" s="100">
        <v>254</v>
      </c>
      <c r="K8" s="158">
        <v>25400</v>
      </c>
      <c r="L8" s="100" t="s">
        <v>974</v>
      </c>
    </row>
    <row r="9" spans="1:12" ht="28.55">
      <c r="A9" s="101" t="s">
        <v>451</v>
      </c>
      <c r="B9" s="100" t="s">
        <v>452</v>
      </c>
      <c r="C9" s="100" t="s">
        <v>453</v>
      </c>
      <c r="D9" s="100"/>
      <c r="E9" s="100" t="s">
        <v>959</v>
      </c>
      <c r="F9" s="158">
        <v>1392000</v>
      </c>
      <c r="G9" s="158">
        <v>139200000</v>
      </c>
      <c r="I9" s="100" t="s">
        <v>975</v>
      </c>
      <c r="J9" s="100">
        <v>209</v>
      </c>
      <c r="K9" s="158">
        <v>20900</v>
      </c>
      <c r="L9" s="100" t="s">
        <v>976</v>
      </c>
    </row>
    <row r="10" spans="1:12" ht="28.55">
      <c r="A10" s="101" t="s">
        <v>454</v>
      </c>
      <c r="B10" s="100" t="s">
        <v>455</v>
      </c>
      <c r="C10" s="100" t="s">
        <v>456</v>
      </c>
      <c r="D10" s="100"/>
      <c r="I10" s="100" t="s">
        <v>963</v>
      </c>
      <c r="J10" s="100">
        <v>306</v>
      </c>
      <c r="K10" s="158">
        <v>30600</v>
      </c>
      <c r="L10" s="100" t="s">
        <v>977</v>
      </c>
    </row>
    <row r="11" spans="1:12" ht="28.55">
      <c r="E11" s="100" t="s">
        <v>812</v>
      </c>
      <c r="F11" s="158">
        <v>1400000000</v>
      </c>
      <c r="G11" s="158">
        <v>140000000000</v>
      </c>
      <c r="I11" s="100" t="s">
        <v>965</v>
      </c>
      <c r="J11" s="100">
        <v>270</v>
      </c>
      <c r="K11" s="158">
        <v>27000</v>
      </c>
      <c r="L11" s="100" t="s">
        <v>966</v>
      </c>
    </row>
    <row r="13" spans="1:12" ht="42.8">
      <c r="H13" s="99"/>
      <c r="I13" s="99" t="s">
        <v>1020</v>
      </c>
      <c r="J13" s="99" t="s">
        <v>810</v>
      </c>
      <c r="K13" s="99" t="s">
        <v>979</v>
      </c>
      <c r="L13" s="99" t="s">
        <v>980</v>
      </c>
    </row>
    <row r="14" spans="1:12" ht="42.8">
      <c r="A14" s="101" t="s">
        <v>457</v>
      </c>
      <c r="B14" s="100" t="s">
        <v>458</v>
      </c>
      <c r="C14" s="100" t="s">
        <v>459</v>
      </c>
      <c r="E14" s="100" t="s">
        <v>960</v>
      </c>
      <c r="F14" s="158">
        <v>1000000000000</v>
      </c>
      <c r="G14" s="158">
        <v>100000000000000</v>
      </c>
      <c r="H14" s="100"/>
      <c r="I14" s="100" t="s">
        <v>1021</v>
      </c>
      <c r="J14" s="158">
        <v>3860</v>
      </c>
      <c r="K14" s="158">
        <v>386000</v>
      </c>
      <c r="L14" s="100" t="s">
        <v>1034</v>
      </c>
    </row>
    <row r="15" spans="1:12" ht="28.55">
      <c r="H15" s="100"/>
      <c r="I15" s="100" t="s">
        <v>1003</v>
      </c>
      <c r="J15" s="158">
        <v>4879</v>
      </c>
      <c r="K15" s="158">
        <v>487900</v>
      </c>
      <c r="L15" s="100" t="s">
        <v>1004</v>
      </c>
    </row>
    <row r="16" spans="1:12" ht="28.55">
      <c r="H16" s="100"/>
      <c r="I16" s="100" t="s">
        <v>1005</v>
      </c>
      <c r="J16" s="158">
        <v>6779</v>
      </c>
      <c r="K16" s="158">
        <v>677900</v>
      </c>
      <c r="L16" s="100" t="s">
        <v>1022</v>
      </c>
    </row>
    <row r="17" spans="8:12" ht="28.55">
      <c r="H17" s="100"/>
      <c r="I17" s="100" t="s">
        <v>1006</v>
      </c>
      <c r="J17" s="158">
        <v>12104</v>
      </c>
      <c r="K17" s="158">
        <v>1210400</v>
      </c>
      <c r="L17" s="100" t="s">
        <v>1023</v>
      </c>
    </row>
    <row r="18" spans="8:12" ht="28.55">
      <c r="H18" s="100"/>
      <c r="I18" s="100" t="s">
        <v>1007</v>
      </c>
      <c r="J18" s="158">
        <v>12742</v>
      </c>
      <c r="K18" s="158">
        <v>1274200</v>
      </c>
      <c r="L18" s="100" t="s">
        <v>1008</v>
      </c>
    </row>
    <row r="19" spans="8:12" ht="42.8">
      <c r="H19" s="100"/>
      <c r="I19" s="100" t="s">
        <v>1035</v>
      </c>
      <c r="J19" s="100" t="s">
        <v>1036</v>
      </c>
      <c r="K19" s="100" t="s">
        <v>1037</v>
      </c>
      <c r="L19" s="100" t="s">
        <v>1038</v>
      </c>
    </row>
    <row r="20" spans="8:12" ht="28.55">
      <c r="H20" s="100"/>
      <c r="I20" s="100" t="s">
        <v>1039</v>
      </c>
      <c r="J20" s="100" t="s">
        <v>1040</v>
      </c>
      <c r="K20" s="100" t="s">
        <v>1041</v>
      </c>
      <c r="L20" s="100" t="s">
        <v>1042</v>
      </c>
    </row>
    <row r="21" spans="8:12" ht="28.55">
      <c r="H21" s="100"/>
      <c r="I21" s="100" t="s">
        <v>1043</v>
      </c>
      <c r="J21" s="100" t="s">
        <v>1044</v>
      </c>
      <c r="K21" s="100" t="s">
        <v>1045</v>
      </c>
      <c r="L21" s="100" t="s">
        <v>1046</v>
      </c>
    </row>
    <row r="22" spans="8:12" ht="28.55">
      <c r="H22" s="100"/>
      <c r="I22" s="100" t="s">
        <v>1047</v>
      </c>
      <c r="J22" s="100" t="s">
        <v>1048</v>
      </c>
      <c r="K22" s="100" t="s">
        <v>1049</v>
      </c>
      <c r="L22" s="100" t="s">
        <v>1050</v>
      </c>
    </row>
    <row r="23" spans="8:12" ht="28.55">
      <c r="H23" s="100"/>
      <c r="I23" s="100" t="s">
        <v>1051</v>
      </c>
      <c r="J23" s="100" t="s">
        <v>1052</v>
      </c>
      <c r="K23" s="100" t="s">
        <v>1053</v>
      </c>
      <c r="L23" s="100" t="s">
        <v>1054</v>
      </c>
    </row>
    <row r="24" spans="8:12" ht="28.55">
      <c r="H24" s="100"/>
      <c r="I24" s="100" t="s">
        <v>1055</v>
      </c>
      <c r="J24" s="100" t="s">
        <v>1056</v>
      </c>
      <c r="K24" s="100" t="s">
        <v>1057</v>
      </c>
      <c r="L24" s="100" t="s">
        <v>1042</v>
      </c>
    </row>
    <row r="25" spans="8:12" ht="28.55">
      <c r="H25" s="100"/>
      <c r="I25" s="100" t="s">
        <v>1058</v>
      </c>
      <c r="J25" s="100" t="s">
        <v>1059</v>
      </c>
      <c r="K25" s="100" t="s">
        <v>1060</v>
      </c>
      <c r="L25" s="100" t="s">
        <v>1061</v>
      </c>
    </row>
    <row r="26" spans="8:12" ht="28.55">
      <c r="H26" s="100"/>
      <c r="I26" s="100" t="s">
        <v>1062</v>
      </c>
      <c r="J26" s="100" t="s">
        <v>1063</v>
      </c>
      <c r="K26" s="100" t="s">
        <v>1064</v>
      </c>
      <c r="L26" s="100" t="s">
        <v>1065</v>
      </c>
    </row>
    <row r="27" spans="8:12" ht="42.8">
      <c r="H27" s="100"/>
      <c r="I27" s="100" t="s">
        <v>1030</v>
      </c>
      <c r="J27" s="100" t="s">
        <v>1031</v>
      </c>
      <c r="K27" s="100" t="s">
        <v>1032</v>
      </c>
      <c r="L27" s="100" t="s">
        <v>1033</v>
      </c>
    </row>
    <row r="30" spans="8:12" ht="42.8">
      <c r="H30" s="99"/>
      <c r="I30" s="99" t="s">
        <v>1020</v>
      </c>
      <c r="J30" s="99" t="s">
        <v>810</v>
      </c>
      <c r="K30" s="99" t="s">
        <v>979</v>
      </c>
      <c r="L30" s="99" t="s">
        <v>980</v>
      </c>
    </row>
    <row r="31" spans="8:12" ht="42.8">
      <c r="H31" s="100"/>
      <c r="I31" s="100" t="s">
        <v>1009</v>
      </c>
      <c r="J31" s="158">
        <v>49244</v>
      </c>
      <c r="K31" s="158">
        <v>4924400</v>
      </c>
      <c r="L31" s="100" t="s">
        <v>1066</v>
      </c>
    </row>
    <row r="32" spans="8:12" ht="42.8">
      <c r="H32" s="100"/>
      <c r="I32" s="100" t="s">
        <v>1010</v>
      </c>
      <c r="J32" s="158">
        <v>50724</v>
      </c>
      <c r="K32" s="158">
        <v>5072400</v>
      </c>
      <c r="L32" s="100" t="s">
        <v>1067</v>
      </c>
    </row>
    <row r="33" spans="8:12" ht="42.8">
      <c r="H33" s="100"/>
      <c r="I33" s="100" t="s">
        <v>1011</v>
      </c>
      <c r="J33" s="158">
        <v>120536</v>
      </c>
      <c r="K33" s="158">
        <v>12053600</v>
      </c>
      <c r="L33" s="100" t="s">
        <v>1068</v>
      </c>
    </row>
    <row r="34" spans="8:12" ht="28.55">
      <c r="H34" s="100"/>
      <c r="I34" s="100" t="s">
        <v>1012</v>
      </c>
      <c r="J34" s="158">
        <v>139820</v>
      </c>
      <c r="K34" s="158">
        <v>13982000</v>
      </c>
      <c r="L34" s="100" t="s">
        <v>1013</v>
      </c>
    </row>
    <row r="35" spans="8:12" ht="42.8">
      <c r="H35" s="100"/>
      <c r="I35" s="100" t="s">
        <v>1014</v>
      </c>
      <c r="J35" s="100" t="s">
        <v>1015</v>
      </c>
      <c r="K35" s="100" t="s">
        <v>1016</v>
      </c>
      <c r="L35" s="100" t="s">
        <v>1069</v>
      </c>
    </row>
    <row r="36" spans="8:12" ht="42.8">
      <c r="H36" s="100"/>
      <c r="I36" s="100" t="s">
        <v>1027</v>
      </c>
      <c r="J36" s="100" t="s">
        <v>1028</v>
      </c>
      <c r="K36" s="100" t="s">
        <v>1029</v>
      </c>
      <c r="L36" s="100" t="s">
        <v>1070</v>
      </c>
    </row>
    <row r="37" spans="8:12" ht="28.55">
      <c r="H37" s="100"/>
      <c r="I37" s="100" t="s">
        <v>1024</v>
      </c>
      <c r="J37" s="100" t="s">
        <v>1025</v>
      </c>
      <c r="K37" s="100" t="s">
        <v>1026</v>
      </c>
      <c r="L37" s="100" t="s">
        <v>1071</v>
      </c>
    </row>
    <row r="38" spans="8:12" ht="42.8">
      <c r="H38" s="100"/>
      <c r="I38" s="100" t="s">
        <v>1072</v>
      </c>
      <c r="J38" s="100" t="s">
        <v>1073</v>
      </c>
      <c r="K38" s="100" t="s">
        <v>1074</v>
      </c>
      <c r="L38" s="100" t="s">
        <v>1075</v>
      </c>
    </row>
    <row r="39" spans="8:12" ht="42.8">
      <c r="H39" s="100"/>
      <c r="I39" s="100" t="s">
        <v>1017</v>
      </c>
      <c r="J39" s="100" t="s">
        <v>1018</v>
      </c>
      <c r="K39" s="100" t="s">
        <v>1019</v>
      </c>
      <c r="L39" s="100" t="s">
        <v>1076</v>
      </c>
    </row>
    <row r="40" spans="8:12" ht="28.55">
      <c r="H40" s="100"/>
      <c r="I40" s="100" t="s">
        <v>1030</v>
      </c>
      <c r="J40" s="100" t="s">
        <v>1031</v>
      </c>
      <c r="K40" s="100" t="s">
        <v>1032</v>
      </c>
      <c r="L40" s="100" t="s">
        <v>1077</v>
      </c>
    </row>
    <row r="42" spans="8:12" ht="28.55">
      <c r="H42" s="99"/>
      <c r="I42" s="99" t="s">
        <v>1078</v>
      </c>
      <c r="J42" s="99" t="s">
        <v>810</v>
      </c>
      <c r="K42" s="99" t="s">
        <v>979</v>
      </c>
      <c r="L42" s="99" t="s">
        <v>980</v>
      </c>
    </row>
    <row r="43" spans="8:12" ht="28.55">
      <c r="H43" s="100"/>
      <c r="I43" s="100" t="s">
        <v>1079</v>
      </c>
      <c r="J43" s="100" t="s">
        <v>1080</v>
      </c>
      <c r="K43" s="100" t="s">
        <v>1081</v>
      </c>
      <c r="L43" s="100" t="s">
        <v>1082</v>
      </c>
    </row>
    <row r="44" spans="8:12" ht="42.8">
      <c r="H44" s="100"/>
      <c r="I44" s="100" t="s">
        <v>1083</v>
      </c>
      <c r="J44" s="158">
        <v>1392000</v>
      </c>
      <c r="K44" s="158">
        <v>139200000</v>
      </c>
      <c r="L44" s="100" t="s">
        <v>1084</v>
      </c>
    </row>
    <row r="45" spans="8:12" ht="42.8">
      <c r="H45" s="100"/>
      <c r="I45" s="100" t="s">
        <v>1085</v>
      </c>
      <c r="J45" s="100" t="s">
        <v>1086</v>
      </c>
      <c r="K45" s="100" t="s">
        <v>1087</v>
      </c>
      <c r="L45" s="100" t="s">
        <v>1088</v>
      </c>
    </row>
    <row r="46" spans="8:12" ht="42.8">
      <c r="H46" s="100"/>
      <c r="I46" s="100" t="s">
        <v>1089</v>
      </c>
      <c r="J46" s="100" t="s">
        <v>1090</v>
      </c>
      <c r="K46" s="100" t="s">
        <v>1091</v>
      </c>
      <c r="L46" s="100" t="s">
        <v>1092</v>
      </c>
    </row>
    <row r="47" spans="8:12" ht="42.8">
      <c r="H47" s="100"/>
      <c r="I47" s="100" t="s">
        <v>1093</v>
      </c>
      <c r="J47" s="100" t="s">
        <v>1094</v>
      </c>
      <c r="K47" s="100" t="s">
        <v>1095</v>
      </c>
      <c r="L47" s="100" t="s">
        <v>1096</v>
      </c>
    </row>
    <row r="48" spans="8:12" ht="28.55">
      <c r="H48" s="100"/>
      <c r="I48" s="100" t="s">
        <v>1097</v>
      </c>
      <c r="J48" s="100" t="s">
        <v>1098</v>
      </c>
      <c r="K48" s="158">
        <v>140000000000</v>
      </c>
      <c r="L48" s="100" t="s">
        <v>1099</v>
      </c>
    </row>
    <row r="49" spans="8:12" ht="57.1">
      <c r="H49" s="100"/>
      <c r="I49" s="100" t="s">
        <v>1100</v>
      </c>
      <c r="J49" s="100" t="s">
        <v>1101</v>
      </c>
      <c r="K49" s="158">
        <v>200000000000</v>
      </c>
      <c r="L49" s="100" t="s">
        <v>1102</v>
      </c>
    </row>
    <row r="50" spans="8:12" ht="42.8">
      <c r="H50" s="100"/>
      <c r="I50" s="100" t="s">
        <v>1103</v>
      </c>
      <c r="J50" s="100" t="s">
        <v>1104</v>
      </c>
      <c r="K50" s="100" t="s">
        <v>1105</v>
      </c>
      <c r="L50" s="100" t="s">
        <v>1106</v>
      </c>
    </row>
    <row r="51" spans="8:12" ht="42.8">
      <c r="H51" s="100"/>
      <c r="I51" s="100" t="s">
        <v>1107</v>
      </c>
      <c r="J51" s="100" t="s">
        <v>1108</v>
      </c>
      <c r="K51" s="100" t="s">
        <v>1109</v>
      </c>
      <c r="L51" s="100" t="s">
        <v>1110</v>
      </c>
    </row>
    <row r="52" spans="8:12" ht="42.8">
      <c r="H52" s="100"/>
      <c r="I52" s="100" t="s">
        <v>1111</v>
      </c>
      <c r="J52" s="100" t="s">
        <v>1112</v>
      </c>
      <c r="K52" s="100" t="s">
        <v>1113</v>
      </c>
      <c r="L52" s="100" t="s">
        <v>1114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70330-42F6-4455-BCE9-C21107B00C52}">
  <sheetPr>
    <tabColor rgb="FF0070C0"/>
  </sheetPr>
  <dimension ref="A1:D16"/>
  <sheetViews>
    <sheetView workbookViewId="0">
      <selection activeCell="R15" sqref="R15"/>
    </sheetView>
  </sheetViews>
  <sheetFormatPr defaultRowHeight="14.3"/>
  <cols>
    <col min="3" max="3" width="11.125" style="18" bestFit="1" customWidth="1"/>
  </cols>
  <sheetData>
    <row r="1" spans="1:4">
      <c r="B1" t="s">
        <v>49</v>
      </c>
      <c r="C1" s="18" t="s">
        <v>8</v>
      </c>
      <c r="D1" t="s">
        <v>50</v>
      </c>
    </row>
    <row r="2" spans="1:4">
      <c r="B2" t="s">
        <v>51</v>
      </c>
      <c r="C2" s="18">
        <v>4</v>
      </c>
      <c r="D2" s="18"/>
    </row>
    <row r="3" spans="1:4">
      <c r="B3" t="s">
        <v>52</v>
      </c>
      <c r="C3" s="18">
        <v>12</v>
      </c>
      <c r="D3" s="18"/>
    </row>
    <row r="4" spans="1:4">
      <c r="A4" t="s">
        <v>53</v>
      </c>
      <c r="B4" t="s">
        <v>54</v>
      </c>
      <c r="C4" s="18">
        <v>20</v>
      </c>
      <c r="D4" s="18"/>
    </row>
    <row r="5" spans="1:4">
      <c r="A5" t="s">
        <v>55</v>
      </c>
      <c r="B5" t="s">
        <v>56</v>
      </c>
      <c r="C5" s="18">
        <v>60</v>
      </c>
      <c r="D5" s="18"/>
    </row>
    <row r="6" spans="1:4">
      <c r="B6" t="s">
        <v>57</v>
      </c>
      <c r="C6" s="18">
        <v>90</v>
      </c>
      <c r="D6" s="18"/>
    </row>
    <row r="7" spans="1:4">
      <c r="D7" s="18"/>
    </row>
    <row r="8" spans="1:4">
      <c r="A8" t="s">
        <v>58</v>
      </c>
      <c r="B8" t="s">
        <v>59</v>
      </c>
      <c r="C8" s="18">
        <v>240</v>
      </c>
      <c r="D8" s="18"/>
    </row>
    <row r="9" spans="1:4">
      <c r="A9" t="s">
        <v>60</v>
      </c>
      <c r="B9" t="s">
        <v>61</v>
      </c>
      <c r="C9" s="18">
        <v>1000</v>
      </c>
      <c r="D9" s="18"/>
    </row>
    <row r="10" spans="1:4">
      <c r="B10" t="s">
        <v>62</v>
      </c>
      <c r="C10" s="18">
        <v>1000</v>
      </c>
      <c r="D10" s="18">
        <v>200</v>
      </c>
    </row>
    <row r="11" spans="1:4">
      <c r="A11" t="s">
        <v>63</v>
      </c>
      <c r="B11" t="s">
        <v>64</v>
      </c>
      <c r="C11" s="18">
        <v>3000</v>
      </c>
      <c r="D11" s="18"/>
    </row>
    <row r="12" spans="1:4">
      <c r="A12" t="s">
        <v>65</v>
      </c>
      <c r="C12" s="18">
        <v>5000</v>
      </c>
      <c r="D12" s="18"/>
    </row>
    <row r="13" spans="1:4">
      <c r="A13" t="s">
        <v>66</v>
      </c>
      <c r="B13" t="s">
        <v>67</v>
      </c>
      <c r="C13" s="18">
        <v>25000</v>
      </c>
      <c r="D13" s="18"/>
    </row>
    <row r="14" spans="1:4">
      <c r="B14" t="s">
        <v>68</v>
      </c>
      <c r="C14" s="18">
        <v>50000</v>
      </c>
      <c r="D14" s="18"/>
    </row>
    <row r="15" spans="1:4">
      <c r="B15" t="s">
        <v>69</v>
      </c>
      <c r="C15" s="18">
        <v>200000</v>
      </c>
      <c r="D15" s="18">
        <f>SUM(D10*200)</f>
        <v>40000</v>
      </c>
    </row>
    <row r="16" spans="1:4">
      <c r="A16" t="s">
        <v>135</v>
      </c>
      <c r="B16" t="s">
        <v>136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E79D8-A514-4D54-8257-4AD0C55EB33B}">
  <dimension ref="A1"/>
  <sheetViews>
    <sheetView topLeftCell="A16" workbookViewId="0"/>
  </sheetViews>
  <sheetFormatPr defaultRowHeight="14.3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85CEF-3EF7-4F5A-B43F-09E8F7A21A6C}">
  <sheetPr>
    <tabColor rgb="FF002060"/>
  </sheetPr>
  <dimension ref="A1:T44"/>
  <sheetViews>
    <sheetView tabSelected="1" topLeftCell="A10" zoomScale="70" zoomScaleNormal="70" zoomScalePageLayoutView="62" workbookViewId="0">
      <selection activeCell="N26" sqref="N26"/>
    </sheetView>
  </sheetViews>
  <sheetFormatPr defaultColWidth="9" defaultRowHeight="31.95" customHeight="1"/>
  <cols>
    <col min="1" max="1" width="5.625" style="21" customWidth="1"/>
    <col min="2" max="2" width="15" style="1" customWidth="1"/>
    <col min="3" max="4" width="15.375" style="1" customWidth="1"/>
    <col min="5" max="8" width="10" style="86" customWidth="1"/>
    <col min="9" max="9" width="18.75" style="1" bestFit="1" customWidth="1"/>
    <col min="10" max="10" width="9.75" style="21" customWidth="1"/>
    <col min="11" max="12" width="9.75" style="25" customWidth="1"/>
    <col min="13" max="14" width="19.125" style="1" customWidth="1"/>
    <col min="15" max="15" width="9" style="51" customWidth="1"/>
    <col min="16" max="16" width="9.25" style="51" bestFit="1" customWidth="1"/>
    <col min="17" max="17" width="18.25" style="51" customWidth="1"/>
    <col min="18" max="18" width="10" style="51" customWidth="1"/>
    <col min="19" max="19" width="18.25" style="51" customWidth="1"/>
    <col min="20" max="20" width="10" style="51" customWidth="1"/>
    <col min="21" max="16384" width="9" style="51"/>
  </cols>
  <sheetData>
    <row r="1" spans="1:20" s="52" customFormat="1" ht="16.3">
      <c r="C1" s="185" t="s">
        <v>1</v>
      </c>
      <c r="D1" s="186"/>
      <c r="E1" s="175" t="s">
        <v>2</v>
      </c>
      <c r="F1" s="176"/>
      <c r="G1" s="176"/>
      <c r="H1" s="177"/>
      <c r="I1" s="173" t="s">
        <v>3</v>
      </c>
      <c r="J1" s="174"/>
      <c r="K1" s="174"/>
      <c r="L1" s="67"/>
      <c r="M1" s="178" t="s">
        <v>4</v>
      </c>
      <c r="N1" s="179"/>
    </row>
    <row r="2" spans="1:20" s="52" customFormat="1" ht="33.299999999999997" thickBot="1">
      <c r="A2" s="160" t="s">
        <v>5</v>
      </c>
      <c r="B2" s="161" t="s">
        <v>0</v>
      </c>
      <c r="C2" s="16" t="s">
        <v>6</v>
      </c>
      <c r="D2" s="66" t="s">
        <v>7</v>
      </c>
      <c r="E2" s="75" t="s">
        <v>8</v>
      </c>
      <c r="F2" s="76" t="s">
        <v>9</v>
      </c>
      <c r="G2" s="76" t="s">
        <v>36</v>
      </c>
      <c r="H2" s="77" t="s">
        <v>10</v>
      </c>
      <c r="I2" s="26" t="s">
        <v>74</v>
      </c>
      <c r="J2" s="170" t="s">
        <v>12</v>
      </c>
      <c r="K2" s="171"/>
      <c r="L2" s="26" t="s">
        <v>130</v>
      </c>
      <c r="M2" s="65" t="s">
        <v>13</v>
      </c>
      <c r="N2" s="17" t="s">
        <v>14</v>
      </c>
      <c r="P2" s="52" t="s">
        <v>15</v>
      </c>
      <c r="Q2" s="172" t="s">
        <v>71</v>
      </c>
      <c r="R2" s="172"/>
      <c r="S2" s="172" t="s">
        <v>71</v>
      </c>
      <c r="T2" s="172"/>
    </row>
    <row r="3" spans="1:20" ht="33.450000000000003" customHeight="1" thickTop="1">
      <c r="A3" s="20">
        <v>1</v>
      </c>
      <c r="B3" s="2" t="s">
        <v>16</v>
      </c>
      <c r="C3" s="3" t="s">
        <v>141</v>
      </c>
      <c r="D3" s="4"/>
      <c r="E3" s="78"/>
      <c r="F3" s="79"/>
      <c r="G3" s="79"/>
      <c r="H3" s="80"/>
      <c r="I3" s="13"/>
      <c r="J3" s="56"/>
      <c r="K3" s="57"/>
      <c r="L3" s="22"/>
      <c r="M3" s="2"/>
      <c r="N3" s="5"/>
      <c r="P3" s="51" t="s">
        <v>17</v>
      </c>
      <c r="Q3" s="53">
        <v>-0.25</v>
      </c>
      <c r="R3" s="51" t="s">
        <v>18</v>
      </c>
    </row>
    <row r="4" spans="1:20" ht="33.450000000000003" customHeight="1">
      <c r="A4" s="20"/>
      <c r="B4" s="2" t="s">
        <v>142</v>
      </c>
      <c r="C4" s="3" t="s">
        <v>143</v>
      </c>
      <c r="D4" s="4"/>
      <c r="E4" s="74"/>
      <c r="F4" s="81"/>
      <c r="G4" s="81"/>
      <c r="H4" s="82"/>
      <c r="I4" s="13"/>
      <c r="J4" s="58"/>
      <c r="K4" s="59"/>
      <c r="L4" s="22"/>
      <c r="M4" s="2"/>
      <c r="N4" s="5"/>
      <c r="P4" s="51" t="s">
        <v>20</v>
      </c>
      <c r="Q4" s="53">
        <v>0.1</v>
      </c>
      <c r="R4" s="51" t="s">
        <v>18</v>
      </c>
    </row>
    <row r="5" spans="1:20" ht="33.450000000000003" customHeight="1">
      <c r="A5" s="20">
        <v>2</v>
      </c>
      <c r="B5" s="6" t="s">
        <v>144</v>
      </c>
      <c r="C5" s="7" t="s">
        <v>145</v>
      </c>
      <c r="D5" s="8"/>
      <c r="E5" s="74"/>
      <c r="F5" s="81"/>
      <c r="G5" s="81"/>
      <c r="H5" s="82"/>
      <c r="I5" s="14"/>
      <c r="J5" s="58"/>
      <c r="K5" s="59"/>
      <c r="L5" s="23"/>
      <c r="M5" s="6"/>
      <c r="N5" s="9"/>
      <c r="P5" s="51" t="s">
        <v>22</v>
      </c>
      <c r="Q5" s="54">
        <v>0.5</v>
      </c>
      <c r="T5" s="51" t="s">
        <v>117</v>
      </c>
    </row>
    <row r="6" spans="1:20" ht="33.450000000000003" customHeight="1">
      <c r="A6" s="20">
        <v>3</v>
      </c>
      <c r="B6" s="6" t="s">
        <v>19</v>
      </c>
      <c r="C6" s="7" t="s">
        <v>21</v>
      </c>
      <c r="D6" s="8"/>
      <c r="E6" s="74"/>
      <c r="F6" s="81"/>
      <c r="G6" s="81"/>
      <c r="H6" s="82"/>
      <c r="I6" s="14"/>
      <c r="J6" s="58"/>
      <c r="K6" s="59"/>
      <c r="L6" s="23"/>
      <c r="M6" s="6"/>
      <c r="N6" s="9"/>
      <c r="P6" s="51" t="s">
        <v>115</v>
      </c>
      <c r="Q6" s="54">
        <v>1.5</v>
      </c>
      <c r="R6" s="51" t="s">
        <v>116</v>
      </c>
      <c r="S6" s="54">
        <v>-1</v>
      </c>
      <c r="T6" s="51" t="s">
        <v>117</v>
      </c>
    </row>
    <row r="7" spans="1:20" ht="33.450000000000003" customHeight="1">
      <c r="A7" s="20">
        <v>4</v>
      </c>
      <c r="B7" s="180" t="s">
        <v>146</v>
      </c>
      <c r="C7" s="183" t="s">
        <v>23</v>
      </c>
      <c r="D7" s="8" t="s">
        <v>24</v>
      </c>
      <c r="E7" s="74">
        <v>1</v>
      </c>
      <c r="F7" s="81">
        <v>0</v>
      </c>
      <c r="G7" s="81">
        <v>0</v>
      </c>
      <c r="H7" s="82">
        <v>0</v>
      </c>
      <c r="I7" s="14"/>
      <c r="J7" s="91">
        <v>3</v>
      </c>
      <c r="K7" s="92">
        <v>1</v>
      </c>
      <c r="L7" s="23"/>
      <c r="M7" s="6"/>
      <c r="N7" s="9"/>
      <c r="P7" s="51" t="s">
        <v>154</v>
      </c>
      <c r="Q7" s="54">
        <v>2</v>
      </c>
      <c r="R7" s="54" t="s">
        <v>18</v>
      </c>
      <c r="S7" s="54">
        <v>0.5</v>
      </c>
      <c r="T7" s="51" t="s">
        <v>117</v>
      </c>
    </row>
    <row r="8" spans="1:20" ht="33.450000000000003" customHeight="1">
      <c r="A8" s="20">
        <v>5</v>
      </c>
      <c r="B8" s="181"/>
      <c r="C8" s="184"/>
      <c r="D8" s="8" t="s">
        <v>26</v>
      </c>
      <c r="E8" s="74">
        <v>1</v>
      </c>
      <c r="F8" s="81">
        <v>0</v>
      </c>
      <c r="G8" s="81">
        <v>0</v>
      </c>
      <c r="H8" s="82">
        <v>0</v>
      </c>
      <c r="I8" s="14"/>
      <c r="J8" s="91">
        <v>2</v>
      </c>
      <c r="K8" s="92">
        <v>1</v>
      </c>
      <c r="L8" s="23"/>
      <c r="M8" s="6"/>
      <c r="N8" s="9"/>
      <c r="P8" s="51" t="s">
        <v>797</v>
      </c>
    </row>
    <row r="9" spans="1:20" ht="33.450000000000003" customHeight="1">
      <c r="A9" s="20">
        <v>6</v>
      </c>
      <c r="B9" s="181"/>
      <c r="C9" s="184"/>
      <c r="D9" s="8" t="s">
        <v>70</v>
      </c>
      <c r="E9" s="74">
        <v>2</v>
      </c>
      <c r="F9" s="81">
        <v>0</v>
      </c>
      <c r="G9" s="81">
        <v>0</v>
      </c>
      <c r="H9" s="82">
        <v>0</v>
      </c>
      <c r="I9" s="14"/>
      <c r="J9" s="91">
        <v>1</v>
      </c>
      <c r="K9" s="92">
        <v>2</v>
      </c>
      <c r="L9" s="23"/>
      <c r="M9" s="6"/>
      <c r="N9" s="9"/>
      <c r="P9" s="51" t="s">
        <v>94</v>
      </c>
      <c r="Q9" s="54">
        <v>1</v>
      </c>
      <c r="R9" s="51" t="s">
        <v>18</v>
      </c>
      <c r="S9" s="54">
        <v>3</v>
      </c>
      <c r="T9" s="51" t="s">
        <v>117</v>
      </c>
    </row>
    <row r="10" spans="1:20" ht="33.450000000000003" customHeight="1">
      <c r="A10" s="20">
        <v>7</v>
      </c>
      <c r="B10" s="181"/>
      <c r="C10" s="185"/>
      <c r="D10" s="8" t="s">
        <v>27</v>
      </c>
      <c r="E10" s="74">
        <v>8</v>
      </c>
      <c r="F10" s="81">
        <v>0</v>
      </c>
      <c r="G10" s="81">
        <v>0</v>
      </c>
      <c r="H10" s="82">
        <v>0</v>
      </c>
      <c r="I10" s="14"/>
      <c r="J10" s="91">
        <v>1</v>
      </c>
      <c r="K10" s="92">
        <v>2</v>
      </c>
      <c r="L10" s="23"/>
      <c r="M10" s="6"/>
      <c r="N10" s="9"/>
      <c r="P10" s="55" t="s">
        <v>25</v>
      </c>
      <c r="Q10" s="54">
        <v>2.5</v>
      </c>
      <c r="R10" s="51" t="s">
        <v>116</v>
      </c>
      <c r="S10" s="54">
        <v>2.5</v>
      </c>
    </row>
    <row r="11" spans="1:20" ht="33.450000000000003" customHeight="1">
      <c r="A11" s="20">
        <v>8</v>
      </c>
      <c r="B11" s="181"/>
      <c r="C11" s="183" t="s">
        <v>28</v>
      </c>
      <c r="D11" s="8" t="s">
        <v>29</v>
      </c>
      <c r="E11" s="74">
        <v>16</v>
      </c>
      <c r="F11" s="81">
        <v>1</v>
      </c>
      <c r="G11" s="81">
        <v>0</v>
      </c>
      <c r="H11" s="82">
        <v>0</v>
      </c>
      <c r="I11" s="14"/>
      <c r="J11" s="91">
        <v>2</v>
      </c>
      <c r="K11" s="92">
        <v>1</v>
      </c>
      <c r="L11" s="23"/>
      <c r="M11" s="6"/>
      <c r="N11" s="69" t="s">
        <v>30</v>
      </c>
    </row>
    <row r="12" spans="1:20" ht="33.450000000000003" customHeight="1">
      <c r="A12" s="20">
        <v>9</v>
      </c>
      <c r="B12" s="181"/>
      <c r="C12" s="185"/>
      <c r="D12" s="8" t="s">
        <v>31</v>
      </c>
      <c r="E12" s="74">
        <v>30</v>
      </c>
      <c r="F12" s="81">
        <v>1</v>
      </c>
      <c r="G12" s="81">
        <v>0</v>
      </c>
      <c r="H12" s="82">
        <v>0</v>
      </c>
      <c r="I12" s="14"/>
      <c r="J12" s="91">
        <v>1</v>
      </c>
      <c r="K12" s="92">
        <v>1</v>
      </c>
      <c r="L12" s="23"/>
      <c r="M12" s="6"/>
      <c r="N12" s="9"/>
    </row>
    <row r="13" spans="1:20" ht="33.450000000000003" customHeight="1">
      <c r="A13" s="20">
        <v>10</v>
      </c>
      <c r="B13" s="181"/>
      <c r="C13" s="183" t="s">
        <v>27</v>
      </c>
      <c r="D13" s="8" t="s">
        <v>32</v>
      </c>
      <c r="E13" s="74">
        <v>20</v>
      </c>
      <c r="F13" s="81">
        <v>0</v>
      </c>
      <c r="G13" s="81">
        <v>0</v>
      </c>
      <c r="H13" s="82">
        <v>0</v>
      </c>
      <c r="I13" s="14" t="s">
        <v>33</v>
      </c>
      <c r="J13" s="91">
        <v>2</v>
      </c>
      <c r="K13" s="92">
        <v>3</v>
      </c>
      <c r="L13" s="23"/>
      <c r="M13" s="6"/>
      <c r="N13" s="9"/>
    </row>
    <row r="14" spans="1:20" ht="33.450000000000003" customHeight="1">
      <c r="A14" s="20">
        <v>11</v>
      </c>
      <c r="B14" s="181"/>
      <c r="C14" s="184"/>
      <c r="D14" s="8" t="s">
        <v>34</v>
      </c>
      <c r="E14" s="74">
        <v>30</v>
      </c>
      <c r="F14" s="81">
        <v>0</v>
      </c>
      <c r="G14" s="81">
        <v>0</v>
      </c>
      <c r="H14" s="82">
        <v>0</v>
      </c>
      <c r="I14" s="14" t="s">
        <v>35</v>
      </c>
      <c r="J14" s="91">
        <v>1</v>
      </c>
      <c r="K14" s="92">
        <v>3</v>
      </c>
      <c r="L14" s="23"/>
      <c r="M14" s="6"/>
      <c r="N14" s="9"/>
    </row>
    <row r="15" spans="1:20" ht="33.450000000000003" customHeight="1">
      <c r="A15" s="20">
        <v>12</v>
      </c>
      <c r="B15" s="182"/>
      <c r="C15" s="185"/>
      <c r="D15" s="8" t="s">
        <v>128</v>
      </c>
      <c r="E15" s="74">
        <v>40</v>
      </c>
      <c r="F15" s="81">
        <v>0</v>
      </c>
      <c r="G15" s="81">
        <v>0</v>
      </c>
      <c r="H15" s="82">
        <v>0</v>
      </c>
      <c r="I15" s="14" t="s">
        <v>127</v>
      </c>
      <c r="J15" s="91">
        <v>1</v>
      </c>
      <c r="K15" s="92">
        <v>3</v>
      </c>
      <c r="L15" s="23"/>
      <c r="M15" s="6"/>
      <c r="N15" s="9"/>
    </row>
    <row r="16" spans="1:20" ht="33.450000000000003" customHeight="1">
      <c r="A16" s="20">
        <v>13</v>
      </c>
      <c r="B16" s="180" t="s">
        <v>133</v>
      </c>
      <c r="C16" s="183" t="s">
        <v>36</v>
      </c>
      <c r="D16" s="8" t="s">
        <v>129</v>
      </c>
      <c r="E16" s="74">
        <v>30</v>
      </c>
      <c r="F16" s="81">
        <v>1</v>
      </c>
      <c r="G16" s="81">
        <v>0</v>
      </c>
      <c r="H16" s="82">
        <v>0</v>
      </c>
      <c r="I16" s="14" t="s">
        <v>72</v>
      </c>
      <c r="J16" s="91">
        <v>2</v>
      </c>
      <c r="K16" s="92">
        <v>1</v>
      </c>
      <c r="L16" s="23"/>
      <c r="M16" s="6"/>
      <c r="N16" s="9"/>
    </row>
    <row r="17" spans="1:17" ht="33.450000000000003" customHeight="1">
      <c r="A17" s="20">
        <v>14</v>
      </c>
      <c r="B17" s="181"/>
      <c r="C17" s="184"/>
      <c r="D17" s="8" t="s">
        <v>37</v>
      </c>
      <c r="E17" s="74">
        <v>40</v>
      </c>
      <c r="F17" s="81">
        <v>1</v>
      </c>
      <c r="G17" s="81">
        <v>0</v>
      </c>
      <c r="H17" s="82">
        <v>0</v>
      </c>
      <c r="I17" s="14"/>
      <c r="J17" s="91">
        <v>1</v>
      </c>
      <c r="K17" s="92">
        <v>2</v>
      </c>
      <c r="L17" s="23"/>
      <c r="M17" s="6"/>
      <c r="N17" s="9"/>
    </row>
    <row r="18" spans="1:17" ht="33.450000000000003" customHeight="1">
      <c r="A18" s="20">
        <v>15</v>
      </c>
      <c r="B18" s="181"/>
      <c r="C18" s="185"/>
      <c r="D18" s="8" t="s">
        <v>36</v>
      </c>
      <c r="E18" s="74">
        <v>70</v>
      </c>
      <c r="F18" s="81">
        <v>2</v>
      </c>
      <c r="G18" s="81">
        <v>0</v>
      </c>
      <c r="H18" s="82">
        <v>0</v>
      </c>
      <c r="I18" s="14"/>
      <c r="J18" s="91">
        <v>1</v>
      </c>
      <c r="K18" s="92">
        <v>4</v>
      </c>
      <c r="L18" s="23"/>
      <c r="M18" s="6"/>
      <c r="N18" s="9"/>
    </row>
    <row r="19" spans="1:17" ht="33.450000000000003" customHeight="1">
      <c r="A19" s="20">
        <v>16</v>
      </c>
      <c r="B19" s="181"/>
      <c r="C19" s="7" t="s">
        <v>38</v>
      </c>
      <c r="D19" s="19" t="s">
        <v>73</v>
      </c>
      <c r="E19" s="74" t="s">
        <v>816</v>
      </c>
      <c r="F19" s="81"/>
      <c r="G19" s="81"/>
      <c r="H19" s="82"/>
      <c r="I19" s="14"/>
      <c r="J19" s="42"/>
      <c r="K19" s="93"/>
      <c r="L19" s="23"/>
      <c r="M19" s="6"/>
      <c r="N19" s="9"/>
    </row>
    <row r="20" spans="1:17" ht="33.450000000000003" customHeight="1">
      <c r="A20" s="20">
        <v>17</v>
      </c>
      <c r="B20" s="181"/>
      <c r="C20" s="183" t="s">
        <v>39</v>
      </c>
      <c r="D20" s="8" t="s">
        <v>40</v>
      </c>
      <c r="E20" s="74">
        <v>400</v>
      </c>
      <c r="F20" s="81">
        <v>2</v>
      </c>
      <c r="G20" s="81">
        <v>1</v>
      </c>
      <c r="H20" s="82">
        <v>0</v>
      </c>
      <c r="I20" s="14"/>
      <c r="J20" s="91">
        <v>2</v>
      </c>
      <c r="K20" s="92">
        <v>1</v>
      </c>
      <c r="L20" s="23"/>
      <c r="M20" s="6"/>
      <c r="N20" s="9"/>
    </row>
    <row r="21" spans="1:17" ht="33.450000000000003" customHeight="1">
      <c r="A21" s="20">
        <v>18</v>
      </c>
      <c r="B21" s="181"/>
      <c r="C21" s="184"/>
      <c r="D21" s="8" t="s">
        <v>73</v>
      </c>
      <c r="E21" s="74" t="s">
        <v>147</v>
      </c>
      <c r="F21" s="81"/>
      <c r="G21" s="81"/>
      <c r="H21" s="82"/>
      <c r="I21" s="14"/>
      <c r="J21" s="42"/>
      <c r="K21" s="93"/>
      <c r="L21" s="23"/>
      <c r="M21" s="6"/>
      <c r="N21" s="9"/>
    </row>
    <row r="22" spans="1:17" ht="33.450000000000003" customHeight="1">
      <c r="A22" s="20">
        <v>19</v>
      </c>
      <c r="B22" s="181"/>
      <c r="C22" s="185"/>
      <c r="D22" s="8" t="s">
        <v>41</v>
      </c>
      <c r="E22" s="74">
        <v>1700</v>
      </c>
      <c r="F22" s="81">
        <v>4</v>
      </c>
      <c r="G22" s="81">
        <v>2</v>
      </c>
      <c r="H22" s="82">
        <v>0</v>
      </c>
      <c r="I22" s="14"/>
      <c r="J22" s="91">
        <v>1</v>
      </c>
      <c r="K22" s="92">
        <v>3</v>
      </c>
      <c r="L22" s="23"/>
      <c r="M22" s="6"/>
      <c r="N22" s="9"/>
    </row>
    <row r="23" spans="1:17" ht="33.450000000000003" customHeight="1">
      <c r="A23" s="20">
        <v>20</v>
      </c>
      <c r="B23" s="181"/>
      <c r="C23" s="183" t="s">
        <v>139</v>
      </c>
      <c r="D23" s="8" t="s">
        <v>73</v>
      </c>
      <c r="E23" s="74" t="s">
        <v>148</v>
      </c>
      <c r="F23" s="81"/>
      <c r="G23" s="81"/>
      <c r="H23" s="82"/>
      <c r="I23" s="14"/>
      <c r="J23" s="42"/>
      <c r="K23" s="93"/>
      <c r="L23" s="1"/>
      <c r="M23" s="6"/>
      <c r="N23" s="9"/>
      <c r="Q23" s="165">
        <f>50+(50*200%)</f>
        <v>150</v>
      </c>
    </row>
    <row r="24" spans="1:17" ht="33.450000000000003" customHeight="1">
      <c r="A24" s="20">
        <v>21</v>
      </c>
      <c r="B24" s="181"/>
      <c r="C24" s="184"/>
      <c r="D24" s="8" t="s">
        <v>792</v>
      </c>
      <c r="E24" s="74">
        <v>7000</v>
      </c>
      <c r="F24" s="81">
        <v>200</v>
      </c>
      <c r="G24" s="81">
        <v>50</v>
      </c>
      <c r="H24" s="82">
        <v>0</v>
      </c>
      <c r="I24" s="14" t="s">
        <v>815</v>
      </c>
      <c r="J24" s="42"/>
      <c r="K24" s="93"/>
      <c r="L24" s="23"/>
      <c r="M24" s="6"/>
      <c r="N24" s="9"/>
    </row>
    <row r="25" spans="1:17" ht="33.450000000000003" customHeight="1">
      <c r="A25" s="20">
        <v>22</v>
      </c>
      <c r="B25" s="181"/>
      <c r="C25" s="185"/>
      <c r="D25" s="8" t="s">
        <v>73</v>
      </c>
      <c r="E25" s="74" t="s">
        <v>149</v>
      </c>
      <c r="F25" s="81" t="s">
        <v>150</v>
      </c>
      <c r="G25" s="81"/>
      <c r="H25" s="82"/>
      <c r="I25" s="14"/>
      <c r="J25" s="42"/>
      <c r="K25" s="93"/>
      <c r="L25" s="23"/>
      <c r="M25" s="6"/>
      <c r="N25" s="9"/>
    </row>
    <row r="26" spans="1:17" ht="33.450000000000003" customHeight="1">
      <c r="A26" s="20">
        <v>23</v>
      </c>
      <c r="B26" s="181"/>
      <c r="C26" s="183" t="s">
        <v>42</v>
      </c>
      <c r="D26" s="8" t="s">
        <v>73</v>
      </c>
      <c r="E26" s="74" t="s">
        <v>151</v>
      </c>
      <c r="F26" s="81" t="s">
        <v>152</v>
      </c>
      <c r="G26" s="81"/>
      <c r="H26" s="82"/>
      <c r="I26" s="14"/>
      <c r="J26" s="42"/>
      <c r="K26" s="93"/>
      <c r="L26" s="23"/>
      <c r="M26" s="6"/>
      <c r="N26" s="9"/>
    </row>
    <row r="27" spans="1:17" ht="33.450000000000003" customHeight="1">
      <c r="A27" s="20">
        <v>24</v>
      </c>
      <c r="B27" s="181"/>
      <c r="C27" s="184"/>
      <c r="D27" s="167" t="s">
        <v>43</v>
      </c>
      <c r="E27" s="74">
        <v>200000</v>
      </c>
      <c r="F27" s="81">
        <v>10</v>
      </c>
      <c r="G27" s="81">
        <v>1</v>
      </c>
      <c r="H27" s="82">
        <v>0</v>
      </c>
      <c r="I27" s="14"/>
      <c r="J27" s="91">
        <v>2</v>
      </c>
      <c r="K27" s="92">
        <v>1</v>
      </c>
      <c r="L27" s="23"/>
      <c r="M27" s="6"/>
      <c r="N27" s="9"/>
    </row>
    <row r="28" spans="1:17" ht="33.450000000000003" customHeight="1">
      <c r="A28" s="20">
        <v>25</v>
      </c>
      <c r="B28" s="181"/>
      <c r="C28" s="185"/>
      <c r="D28" s="8" t="s">
        <v>42</v>
      </c>
      <c r="E28" s="74">
        <v>200000</v>
      </c>
      <c r="F28" s="81">
        <v>30</v>
      </c>
      <c r="G28" s="81">
        <v>2</v>
      </c>
      <c r="H28" s="82">
        <v>0</v>
      </c>
      <c r="I28" s="14"/>
      <c r="J28" s="91">
        <v>1</v>
      </c>
      <c r="K28" s="92">
        <v>1</v>
      </c>
      <c r="L28" s="23"/>
      <c r="M28" s="6"/>
      <c r="N28" s="9"/>
    </row>
    <row r="29" spans="1:17" ht="33.450000000000003" customHeight="1">
      <c r="A29" s="20">
        <v>27</v>
      </c>
      <c r="B29" s="181"/>
      <c r="C29" s="183" t="s">
        <v>942</v>
      </c>
      <c r="D29" s="8" t="s">
        <v>44</v>
      </c>
      <c r="E29" s="74"/>
      <c r="F29" s="81"/>
      <c r="G29" s="81"/>
      <c r="H29" s="82">
        <v>0</v>
      </c>
      <c r="I29" s="14"/>
      <c r="J29" s="91">
        <v>2</v>
      </c>
      <c r="K29" s="92">
        <v>1</v>
      </c>
      <c r="L29" s="23"/>
      <c r="M29" s="6"/>
      <c r="N29" s="9"/>
    </row>
    <row r="30" spans="1:17" ht="33.450000000000003" customHeight="1">
      <c r="A30" s="20">
        <v>28</v>
      </c>
      <c r="B30" s="181"/>
      <c r="C30" s="184"/>
      <c r="D30" s="167" t="s">
        <v>45</v>
      </c>
      <c r="E30" s="74" t="s">
        <v>153</v>
      </c>
      <c r="F30" s="81" t="s">
        <v>153</v>
      </c>
      <c r="G30" s="81"/>
      <c r="H30" s="82">
        <v>1</v>
      </c>
      <c r="I30" s="14"/>
      <c r="J30" s="91">
        <v>1</v>
      </c>
      <c r="K30" s="92">
        <v>1</v>
      </c>
      <c r="L30" s="23"/>
      <c r="M30" s="6"/>
      <c r="N30" s="9"/>
    </row>
    <row r="31" spans="1:17" ht="33.450000000000003" customHeight="1">
      <c r="A31" s="20">
        <v>29</v>
      </c>
      <c r="B31" s="181"/>
      <c r="C31" s="184"/>
      <c r="D31" s="8" t="s">
        <v>46</v>
      </c>
      <c r="E31" s="74" t="s">
        <v>153</v>
      </c>
      <c r="F31" s="81" t="s">
        <v>153</v>
      </c>
      <c r="G31" s="81" t="s">
        <v>153</v>
      </c>
      <c r="H31" s="82">
        <v>1</v>
      </c>
      <c r="I31" s="14"/>
      <c r="J31" s="91">
        <v>1</v>
      </c>
      <c r="K31" s="92">
        <v>2</v>
      </c>
      <c r="L31" s="23"/>
      <c r="M31" s="6"/>
      <c r="N31" s="9"/>
    </row>
    <row r="32" spans="1:17" ht="33.450000000000003" customHeight="1">
      <c r="A32" s="20">
        <v>30</v>
      </c>
      <c r="B32" s="182"/>
      <c r="C32" s="185"/>
      <c r="D32" s="8" t="s">
        <v>47</v>
      </c>
      <c r="E32" s="74" t="s">
        <v>153</v>
      </c>
      <c r="F32" s="81" t="s">
        <v>153</v>
      </c>
      <c r="G32" s="81" t="s">
        <v>153</v>
      </c>
      <c r="H32" s="82">
        <v>10</v>
      </c>
      <c r="I32" s="14"/>
      <c r="J32" s="91">
        <v>1</v>
      </c>
      <c r="K32" s="92">
        <v>5</v>
      </c>
      <c r="L32" s="23"/>
      <c r="M32" s="6"/>
      <c r="N32" s="9"/>
    </row>
    <row r="33" spans="1:14" ht="33.450000000000003" customHeight="1">
      <c r="A33" s="20">
        <v>31</v>
      </c>
      <c r="B33" s="180" t="s">
        <v>817</v>
      </c>
      <c r="C33" s="183" t="s">
        <v>474</v>
      </c>
      <c r="D33" s="8" t="s">
        <v>939</v>
      </c>
      <c r="E33" s="74"/>
      <c r="F33" s="81">
        <v>1</v>
      </c>
      <c r="G33" s="81"/>
      <c r="H33" s="82"/>
      <c r="I33" s="14"/>
      <c r="J33" s="91"/>
      <c r="K33" s="92"/>
      <c r="L33" s="23"/>
      <c r="M33" s="6"/>
      <c r="N33" s="9"/>
    </row>
    <row r="34" spans="1:14" ht="33.450000000000003" customHeight="1">
      <c r="A34" s="20">
        <v>32</v>
      </c>
      <c r="B34" s="181"/>
      <c r="C34" s="185"/>
      <c r="D34" s="8" t="s">
        <v>73</v>
      </c>
      <c r="E34" s="74"/>
      <c r="F34" s="81">
        <v>5</v>
      </c>
      <c r="G34" s="81">
        <v>3</v>
      </c>
      <c r="H34" s="82"/>
      <c r="I34" s="14"/>
      <c r="J34" s="91"/>
      <c r="K34" s="92"/>
      <c r="L34" s="23"/>
      <c r="M34" s="6"/>
      <c r="N34" s="9"/>
    </row>
    <row r="35" spans="1:14" ht="33.450000000000003" customHeight="1">
      <c r="A35" s="20">
        <v>33</v>
      </c>
      <c r="B35" s="181"/>
      <c r="C35" s="183" t="s">
        <v>48</v>
      </c>
      <c r="D35" s="8"/>
      <c r="E35" s="74"/>
      <c r="F35" s="81" t="s">
        <v>955</v>
      </c>
      <c r="G35" s="81">
        <v>10</v>
      </c>
      <c r="H35" s="82">
        <v>5</v>
      </c>
      <c r="I35" s="14"/>
      <c r="J35" s="58"/>
      <c r="K35" s="59"/>
      <c r="L35" s="23"/>
      <c r="M35" s="6"/>
      <c r="N35" s="9"/>
    </row>
    <row r="36" spans="1:14" ht="33.450000000000003" customHeight="1">
      <c r="A36" s="20"/>
      <c r="B36" s="181"/>
      <c r="C36" s="184"/>
      <c r="D36" s="119" t="s">
        <v>940</v>
      </c>
      <c r="E36" s="74" t="s">
        <v>153</v>
      </c>
      <c r="F36" s="81" t="s">
        <v>153</v>
      </c>
      <c r="G36" s="81" t="s">
        <v>153</v>
      </c>
      <c r="H36" s="82">
        <v>20</v>
      </c>
      <c r="I36" s="120"/>
      <c r="J36" s="121"/>
      <c r="K36" s="122"/>
      <c r="L36" s="123"/>
      <c r="M36" s="118"/>
      <c r="N36" s="124"/>
    </row>
    <row r="37" spans="1:14" ht="33.450000000000003" customHeight="1" thickBot="1">
      <c r="A37" s="20">
        <v>34</v>
      </c>
      <c r="B37" s="187"/>
      <c r="C37" s="188"/>
      <c r="D37" s="11" t="s">
        <v>48</v>
      </c>
      <c r="E37" s="83" t="s">
        <v>153</v>
      </c>
      <c r="F37" s="84" t="s">
        <v>153</v>
      </c>
      <c r="G37" s="84" t="s">
        <v>153</v>
      </c>
      <c r="H37" s="85">
        <v>40</v>
      </c>
      <c r="I37" s="15"/>
      <c r="J37" s="94"/>
      <c r="K37" s="60"/>
      <c r="L37" s="24"/>
      <c r="M37" s="10"/>
      <c r="N37" s="12"/>
    </row>
    <row r="38" spans="1:14" ht="31.95" customHeight="1">
      <c r="K38" s="61"/>
      <c r="L38" s="62"/>
    </row>
    <row r="39" spans="1:14" ht="30.6" customHeight="1">
      <c r="B39" s="63"/>
      <c r="C39" s="1" t="s">
        <v>137</v>
      </c>
    </row>
    <row r="40" spans="1:14" ht="30.6" customHeight="1">
      <c r="C40" s="27"/>
      <c r="D40" s="1" t="s">
        <v>138</v>
      </c>
    </row>
    <row r="41" spans="1:14" ht="30.6" customHeight="1">
      <c r="D41" s="28"/>
    </row>
    <row r="42" spans="1:14" ht="30.6" customHeight="1">
      <c r="C42" s="28"/>
    </row>
    <row r="43" spans="1:14" ht="30.6" customHeight="1">
      <c r="B43" s="25"/>
      <c r="C43" s="28"/>
      <c r="E43" s="87"/>
    </row>
    <row r="44" spans="1:14" ht="30.6" customHeight="1">
      <c r="C44" s="28"/>
      <c r="E44" s="87"/>
    </row>
  </sheetData>
  <mergeCells count="20">
    <mergeCell ref="B33:B37"/>
    <mergeCell ref="C33:C34"/>
    <mergeCell ref="C35:C37"/>
    <mergeCell ref="B16:B32"/>
    <mergeCell ref="C16:C18"/>
    <mergeCell ref="C20:C22"/>
    <mergeCell ref="C23:C25"/>
    <mergeCell ref="C26:C28"/>
    <mergeCell ref="C29:C32"/>
    <mergeCell ref="B7:B15"/>
    <mergeCell ref="C7:C10"/>
    <mergeCell ref="C11:C12"/>
    <mergeCell ref="C13:C15"/>
    <mergeCell ref="C1:D1"/>
    <mergeCell ref="J2:K2"/>
    <mergeCell ref="Q2:R2"/>
    <mergeCell ref="S2:T2"/>
    <mergeCell ref="I1:K1"/>
    <mergeCell ref="E1:H1"/>
    <mergeCell ref="M1:N1"/>
  </mergeCells>
  <conditionalFormatting sqref="J3:J22 J24:J37">
    <cfRule type="dataBar" priority="34">
      <dataBar>
        <cfvo type="num" val="0"/>
        <cfvo type="formula" val="MAX($K$3:$K$37)"/>
        <color rgb="FF638EC6"/>
      </dataBar>
      <extLst>
        <ext xmlns:x14="http://schemas.microsoft.com/office/spreadsheetml/2009/9/main" uri="{B025F937-C7B1-47D3-B67F-A62EFF666E3E}">
          <x14:id>{98B7BA4D-4D73-4D06-AF0B-7B5947615759}</x14:id>
        </ext>
      </extLst>
    </cfRule>
  </conditionalFormatting>
  <conditionalFormatting sqref="E44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{6F160F60-AB6E-45D5-B9A0-1F4B1A072CFC}</x14:id>
        </ext>
      </extLst>
    </cfRule>
  </conditionalFormatting>
  <conditionalFormatting sqref="C42:C44 C40 D41 E4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{23540191-D4C7-4447-BC00-3955BED0CAC9}</x14:id>
        </ext>
      </extLst>
    </cfRule>
  </conditionalFormatting>
  <conditionalFormatting sqref="K24:L37 K3:L22">
    <cfRule type="dataBar" priority="40">
      <dataBar>
        <cfvo type="num" val="0"/>
        <cfvo type="max"/>
        <color rgb="FF638EC6"/>
      </dataBar>
      <extLst>
        <ext xmlns:x14="http://schemas.microsoft.com/office/spreadsheetml/2009/9/main" uri="{B025F937-C7B1-47D3-B67F-A62EFF666E3E}">
          <x14:id>{B658247E-D2EC-4949-86EC-0058E2AEB320}</x14:id>
        </ext>
      </extLst>
    </cfRule>
  </conditionalFormatting>
  <conditionalFormatting sqref="Q3:S7 Q9:S10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{80442063-A334-4194-A2AD-3C1C1912080B}</x14:id>
        </ext>
      </extLst>
    </cfRule>
  </conditionalFormatting>
  <conditionalFormatting sqref="E20:H20">
    <cfRule type="colorScale" priority="49">
      <colorScale>
        <cfvo type="num" val="0"/>
        <cfvo type="num" val="1"/>
        <cfvo type="num" val="50"/>
        <color rgb="FFF8696B"/>
        <color rgb="FFFFEB84"/>
        <color rgb="FF63BE7B"/>
      </colorScale>
    </cfRule>
    <cfRule type="colorScale" priority="50">
      <colorScale>
        <cfvo type="num" val="1000"/>
        <cfvo type="max"/>
        <color rgb="FF56CC64"/>
        <color theme="9" tint="-0.249977111117893"/>
      </colorScale>
    </cfRule>
    <cfRule type="containsText" dxfId="1" priority="51" operator="containsText" text="Yes">
      <formula>NOT(ISERROR(SEARCH("Yes",E20)))</formula>
    </cfRule>
  </conditionalFormatting>
  <conditionalFormatting sqref="E3:H19 E21:H37">
    <cfRule type="colorScale" priority="57">
      <colorScale>
        <cfvo type="num" val="0"/>
        <cfvo type="num" val="1"/>
        <cfvo type="num" val="50"/>
        <color rgb="FFF8696B"/>
        <color rgb="FFFFEB84"/>
        <color rgb="FF63BE7B"/>
      </colorScale>
    </cfRule>
    <cfRule type="colorScale" priority="58">
      <colorScale>
        <cfvo type="num" val="1000"/>
        <cfvo type="max"/>
        <color rgb="FF56CC64"/>
        <color theme="9" tint="-0.249977111117893"/>
      </colorScale>
    </cfRule>
    <cfRule type="containsText" dxfId="0" priority="59" operator="containsText" text="Yes">
      <formula>NOT(ISERROR(SEARCH("Yes",E3)))</formula>
    </cfRule>
  </conditionalFormatting>
  <hyperlinks>
    <hyperlink ref="N11" r:id="rId1" xr:uid="{EB35FE48-CC37-40FA-9700-76A8C029FF1F}"/>
  </hyperlinks>
  <pageMargins left="0.70866141732283472" right="0.70866141732283472" top="0.74803149606299213" bottom="0.74803149606299213" header="0.31496062992125984" footer="0.31496062992125984"/>
  <pageSetup scale="65" fitToWidth="0" fitToHeight="0" orientation="landscape" r:id="rId2"/>
  <colBreaks count="1" manualBreakCount="1">
    <brk id="14" max="1048575" man="1"/>
  </colBreaks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B7BA4D-4D73-4D06-AF0B-7B5947615759}">
            <x14:dataBar minLength="0" maxLength="100" gradient="0" direction="rightToLeft">
              <x14:cfvo type="num">
                <xm:f>0</xm:f>
              </x14:cfvo>
              <x14:cfvo type="formula">
                <xm:f>MAX($K$3:$K$37)</xm:f>
              </x14:cfvo>
              <x14:negativeFillColor rgb="FFFF0000"/>
              <x14:axisColor rgb="FF000000"/>
            </x14:dataBar>
          </x14:cfRule>
          <xm:sqref>J3:J22 J24:J37</xm:sqref>
        </x14:conditionalFormatting>
        <x14:conditionalFormatting xmlns:xm="http://schemas.microsoft.com/office/excel/2006/main">
          <x14:cfRule type="dataBar" id="{6F160F60-AB6E-45D5-B9A0-1F4B1A072CFC}">
            <x14:dataBar minLength="0" maxLength="100" gradient="0" axisPosition="middle">
              <x14:cfvo type="autoMin"/>
              <x14:cfvo type="autoMax"/>
              <x14:negativeFillColor rgb="FFFF0000"/>
              <x14:axisColor rgb="FF000000"/>
            </x14:dataBar>
          </x14:cfRule>
          <xm:sqref>E44</xm:sqref>
        </x14:conditionalFormatting>
        <x14:conditionalFormatting xmlns:xm="http://schemas.microsoft.com/office/excel/2006/main">
          <x14:cfRule type="dataBar" id="{23540191-D4C7-4447-BC00-3955BED0CAC9}">
            <x14:dataBar minLength="0" maxLength="100" gradient="0" axisPosition="middle">
              <x14:cfvo type="autoMin"/>
              <x14:cfvo type="autoMax"/>
              <x14:negativeFillColor rgb="FFFF0000"/>
              <x14:axisColor rgb="FF000000"/>
            </x14:dataBar>
          </x14:cfRule>
          <xm:sqref>C42:C44 C40 D41 E43</xm:sqref>
        </x14:conditionalFormatting>
        <x14:conditionalFormatting xmlns:xm="http://schemas.microsoft.com/office/excel/2006/main">
          <x14:cfRule type="dataBar" id="{B658247E-D2EC-4949-86EC-0058E2AEB320}">
            <x14:dataBar minLength="0" maxLength="100" gradient="0">
              <x14:cfvo type="num">
                <xm:f>0</xm:f>
              </x14:cfvo>
              <x14:cfvo type="autoMax"/>
              <x14:negativeFillColor rgb="FFFF0000"/>
              <x14:axisColor rgb="FF000000"/>
            </x14:dataBar>
          </x14:cfRule>
          <xm:sqref>K24:L37 K3:L22</xm:sqref>
        </x14:conditionalFormatting>
        <x14:conditionalFormatting xmlns:xm="http://schemas.microsoft.com/office/excel/2006/main">
          <x14:cfRule type="dataBar" id="{80442063-A334-4194-A2AD-3C1C1912080B}">
            <x14:dataBar minLength="0" maxLength="100" gradient="0" axisPosition="middle">
              <x14:cfvo type="autoMin"/>
              <x14:cfvo type="autoMax"/>
              <x14:negativeFillColor rgb="FFFF0000"/>
              <x14:axisColor rgb="FF000000"/>
            </x14:dataBar>
          </x14:cfRule>
          <xm:sqref>Q3:S7 Q9:S10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535A0-6C55-4A69-994E-7599BCA73916}">
  <sheetPr codeName="Sheet1">
    <tabColor rgb="FF002060"/>
  </sheetPr>
  <dimension ref="A1:U40"/>
  <sheetViews>
    <sheetView zoomScale="88" workbookViewId="0">
      <selection activeCell="O12" sqref="O12"/>
    </sheetView>
  </sheetViews>
  <sheetFormatPr defaultRowHeight="16.3"/>
  <cols>
    <col min="1" max="1" width="6.125" style="35" bestFit="1" customWidth="1"/>
    <col min="2" max="3" width="10.625" style="35" customWidth="1"/>
    <col min="4" max="4" width="1.375" style="35" bestFit="1" customWidth="1"/>
    <col min="5" max="6" width="7.625" style="155" customWidth="1"/>
    <col min="7" max="7" width="1.375" style="35" bestFit="1" customWidth="1"/>
    <col min="8" max="8" width="11" style="35" bestFit="1" customWidth="1"/>
    <col min="9" max="9" width="1.375" style="35" bestFit="1" customWidth="1"/>
    <col min="10" max="10" width="8.875" style="35" customWidth="1"/>
    <col min="11" max="12" width="9" style="35"/>
    <col min="13" max="13" width="19.125" style="35" bestFit="1" customWidth="1"/>
    <col min="14" max="14" width="0.875" style="35" bestFit="1" customWidth="1"/>
    <col min="15" max="15" width="50.25" style="35" bestFit="1" customWidth="1"/>
    <col min="16" max="16" width="9" style="35"/>
    <col min="17" max="17" width="11.375" style="35" bestFit="1" customWidth="1"/>
    <col min="18" max="16384" width="9" style="35"/>
  </cols>
  <sheetData>
    <row r="1" spans="1:21" ht="34" customHeight="1" thickBot="1">
      <c r="A1" s="48" t="s">
        <v>105</v>
      </c>
      <c r="B1" s="29" t="s">
        <v>125</v>
      </c>
      <c r="C1" s="30" t="s">
        <v>126</v>
      </c>
      <c r="D1" s="30"/>
      <c r="E1" s="44" t="s">
        <v>109</v>
      </c>
      <c r="F1" s="44" t="s">
        <v>109</v>
      </c>
      <c r="G1" s="31"/>
      <c r="H1" s="32"/>
      <c r="I1" s="33"/>
      <c r="J1" s="116"/>
      <c r="K1" s="49" t="s">
        <v>935</v>
      </c>
      <c r="L1" s="117"/>
      <c r="M1" s="50" t="s">
        <v>104</v>
      </c>
      <c r="N1" s="31"/>
      <c r="O1" s="34"/>
    </row>
    <row r="2" spans="1:21" ht="34" customHeight="1" thickBot="1">
      <c r="A2" s="36" t="s">
        <v>5</v>
      </c>
      <c r="B2" s="43" t="s">
        <v>86</v>
      </c>
      <c r="C2" s="37" t="s">
        <v>87</v>
      </c>
      <c r="D2" s="37"/>
      <c r="E2" s="45" t="s">
        <v>88</v>
      </c>
      <c r="F2" s="126" t="s">
        <v>89</v>
      </c>
      <c r="G2" s="38"/>
      <c r="H2" s="39" t="s">
        <v>91</v>
      </c>
      <c r="I2" s="40"/>
      <c r="J2" s="40"/>
      <c r="K2" s="37" t="s">
        <v>11</v>
      </c>
      <c r="L2" s="40" t="s">
        <v>15</v>
      </c>
      <c r="M2" s="38" t="s">
        <v>90</v>
      </c>
      <c r="N2" s="41" t="s">
        <v>92</v>
      </c>
      <c r="O2" s="41" t="s">
        <v>96</v>
      </c>
      <c r="P2" s="35" t="s">
        <v>118</v>
      </c>
      <c r="Q2" s="35" t="s">
        <v>166</v>
      </c>
    </row>
    <row r="3" spans="1:21" ht="17" thickTop="1">
      <c r="A3" s="127" t="s">
        <v>199</v>
      </c>
      <c r="B3" s="20" t="s">
        <v>97</v>
      </c>
      <c r="C3" s="128">
        <v>12</v>
      </c>
      <c r="D3" s="129"/>
      <c r="E3" s="130">
        <v>4</v>
      </c>
      <c r="F3" s="130">
        <v>5</v>
      </c>
      <c r="G3" s="131"/>
      <c r="H3" s="132" t="s">
        <v>123</v>
      </c>
      <c r="I3" s="133"/>
      <c r="J3" s="133" t="s">
        <v>951</v>
      </c>
      <c r="K3" s="129" t="s">
        <v>952</v>
      </c>
      <c r="L3" s="133" t="s">
        <v>208</v>
      </c>
      <c r="M3" s="131" t="s">
        <v>953</v>
      </c>
      <c r="N3" s="134"/>
      <c r="O3" s="134" t="str">
        <f t="shared" ref="O3:O28" si="0">$B3&amp;"-"&amp;$C3&amp;$E3&amp;$F3 &amp;IF($P3&lt;&gt;""," "&amp;$P3&amp;"'s",) &amp;IF($H3&lt;&gt;""," """&amp;$H3&amp;"""",)  &amp;IF($Q3&lt;&gt;""," "&amp;$Q3,) &amp;IF($J3&lt;&gt;""," "&amp;$J3,) &amp;IF($K3&lt;&gt;""," "&amp;$K3,) &amp;IF(ISERROR(FIND(" ",$M3)), " "&amp;$L3 &amp; " " &amp; $M3, " "&amp;LEFT($M3,FIND(" ",$M3)) &amp; $L3 &amp; LOWER(MID($M3,FIND(" ",$M3)+1,LEN($M3))))</f>
        <v>AB-1245 Tuv's "Cdef" Wxyz Ghi Jkl Mno Pqrs</v>
      </c>
      <c r="P3" s="35" t="s">
        <v>954</v>
      </c>
      <c r="Q3" s="35" t="s">
        <v>122</v>
      </c>
    </row>
    <row r="4" spans="1:21">
      <c r="A4" s="135">
        <v>1</v>
      </c>
      <c r="B4" s="136" t="s">
        <v>93</v>
      </c>
      <c r="C4" s="137">
        <v>37</v>
      </c>
      <c r="D4" s="138"/>
      <c r="E4" s="139">
        <v>4</v>
      </c>
      <c r="F4" s="139">
        <v>0</v>
      </c>
      <c r="G4" s="140"/>
      <c r="H4" s="141" t="s">
        <v>94</v>
      </c>
      <c r="I4" s="142"/>
      <c r="J4" s="142"/>
      <c r="K4" s="138"/>
      <c r="L4" s="142"/>
      <c r="M4" s="140" t="s">
        <v>95</v>
      </c>
      <c r="N4" s="143"/>
      <c r="O4" s="134" t="str">
        <f t="shared" si="0"/>
        <v>CM-3740 "Comet"  Freighter</v>
      </c>
    </row>
    <row r="5" spans="1:21">
      <c r="A5" s="135">
        <v>2</v>
      </c>
      <c r="B5" s="136" t="s">
        <v>98</v>
      </c>
      <c r="C5" s="137">
        <v>74</v>
      </c>
      <c r="D5" s="138"/>
      <c r="E5" s="139">
        <v>2</v>
      </c>
      <c r="F5" s="139">
        <v>3</v>
      </c>
      <c r="G5" s="140"/>
      <c r="H5" s="141" t="s">
        <v>99</v>
      </c>
      <c r="I5" s="142"/>
      <c r="J5" s="142"/>
      <c r="K5" s="138"/>
      <c r="L5" s="142"/>
      <c r="M5" s="140" t="s">
        <v>103</v>
      </c>
      <c r="N5" s="143"/>
      <c r="O5" s="134" t="str">
        <f t="shared" si="0"/>
        <v>MN-7423 Lynn's "Manta Ray" Fighter strikecraft</v>
      </c>
      <c r="P5" s="35" t="s">
        <v>119</v>
      </c>
    </row>
    <row r="6" spans="1:21">
      <c r="A6" s="135">
        <v>3</v>
      </c>
      <c r="B6" s="136" t="s">
        <v>100</v>
      </c>
      <c r="C6" s="144" t="s">
        <v>155</v>
      </c>
      <c r="D6" s="138"/>
      <c r="E6" s="139">
        <v>2</v>
      </c>
      <c r="F6" s="139">
        <v>3</v>
      </c>
      <c r="G6" s="140"/>
      <c r="H6" s="141" t="s">
        <v>101</v>
      </c>
      <c r="I6" s="142"/>
      <c r="J6" s="142"/>
      <c r="K6" s="138"/>
      <c r="L6" s="142"/>
      <c r="M6" s="140" t="s">
        <v>102</v>
      </c>
      <c r="N6" s="143"/>
      <c r="O6" s="134" t="str">
        <f t="shared" si="0"/>
        <v>SN-F5H23 "Sunfish" Pontusian Attacker strikecraft</v>
      </c>
      <c r="Q6" s="35" t="s">
        <v>168</v>
      </c>
      <c r="U6" s="35">
        <f>26/8</f>
        <v>3.25</v>
      </c>
    </row>
    <row r="7" spans="1:21">
      <c r="A7" s="135">
        <v>4</v>
      </c>
      <c r="B7" s="136" t="s">
        <v>108</v>
      </c>
      <c r="C7" s="144" t="s">
        <v>156</v>
      </c>
      <c r="D7" s="138"/>
      <c r="E7" s="139">
        <v>1</v>
      </c>
      <c r="F7" s="139">
        <v>0</v>
      </c>
      <c r="G7" s="140"/>
      <c r="H7" s="141" t="s">
        <v>107</v>
      </c>
      <c r="I7" s="142"/>
      <c r="J7" s="142"/>
      <c r="K7" s="138" t="s">
        <v>106</v>
      </c>
      <c r="L7" s="142"/>
      <c r="M7" s="140" t="s">
        <v>120</v>
      </c>
      <c r="N7" s="143"/>
      <c r="O7" s="134" t="str">
        <f t="shared" si="0"/>
        <v>WH-4L310 "Venator" Military Battle cruiser</v>
      </c>
    </row>
    <row r="8" spans="1:21">
      <c r="A8" s="135">
        <v>5</v>
      </c>
      <c r="B8" s="136" t="s">
        <v>112</v>
      </c>
      <c r="C8" s="137">
        <v>824</v>
      </c>
      <c r="D8" s="138"/>
      <c r="E8" s="139">
        <v>3</v>
      </c>
      <c r="F8" s="139">
        <v>9</v>
      </c>
      <c r="G8" s="140"/>
      <c r="H8" s="141" t="s">
        <v>111</v>
      </c>
      <c r="I8" s="142"/>
      <c r="J8" s="142"/>
      <c r="K8" s="138" t="s">
        <v>113</v>
      </c>
      <c r="L8" s="142"/>
      <c r="M8" s="140" t="s">
        <v>114</v>
      </c>
      <c r="N8" s="143"/>
      <c r="O8" s="134" t="str">
        <f t="shared" si="0"/>
        <v>CP-82439 Pan's "Capybara" Scout  Vessel</v>
      </c>
      <c r="P8" s="35" t="s">
        <v>121</v>
      </c>
    </row>
    <row r="9" spans="1:21" ht="32.6">
      <c r="A9" s="135">
        <v>6</v>
      </c>
      <c r="B9" s="136" t="s">
        <v>157</v>
      </c>
      <c r="C9" s="144" t="s">
        <v>155</v>
      </c>
      <c r="D9" s="138"/>
      <c r="E9" s="139">
        <v>9</v>
      </c>
      <c r="F9" s="139">
        <v>5</v>
      </c>
      <c r="G9" s="140"/>
      <c r="H9" s="141" t="s">
        <v>161</v>
      </c>
      <c r="I9" s="142"/>
      <c r="J9" s="138" t="s">
        <v>162</v>
      </c>
      <c r="M9" s="140" t="s">
        <v>163</v>
      </c>
      <c r="N9" s="143"/>
      <c r="O9" s="134" t="str">
        <f t="shared" si="0"/>
        <v>CT-F5H95 Suya's "Catfish" Unmanned  Interceptor</v>
      </c>
      <c r="P9" s="35" t="s">
        <v>169</v>
      </c>
    </row>
    <row r="10" spans="1:21">
      <c r="A10" s="135">
        <v>7</v>
      </c>
      <c r="B10" s="136" t="s">
        <v>158</v>
      </c>
      <c r="C10" s="137">
        <v>214</v>
      </c>
      <c r="D10" s="138"/>
      <c r="E10" s="139">
        <v>7</v>
      </c>
      <c r="F10" s="139">
        <v>9</v>
      </c>
      <c r="G10" s="140"/>
      <c r="H10" s="141" t="s">
        <v>164</v>
      </c>
      <c r="I10" s="142"/>
      <c r="J10" s="142"/>
      <c r="K10" s="138"/>
      <c r="L10" s="142" t="s">
        <v>25</v>
      </c>
      <c r="M10" s="140" t="s">
        <v>937</v>
      </c>
      <c r="N10" s="143"/>
      <c r="O10" s="134" t="str">
        <f t="shared" si="0"/>
        <v>TH-21479 Caspy's "Aetheria" Star Cruiser</v>
      </c>
      <c r="P10" s="35" t="s">
        <v>170</v>
      </c>
    </row>
    <row r="11" spans="1:21">
      <c r="A11" s="135">
        <v>8</v>
      </c>
      <c r="B11" s="136" t="s">
        <v>159</v>
      </c>
      <c r="C11" s="137">
        <v>24</v>
      </c>
      <c r="D11" s="138"/>
      <c r="E11" s="139">
        <v>1</v>
      </c>
      <c r="F11" s="139">
        <v>3</v>
      </c>
      <c r="G11" s="140"/>
      <c r="H11" s="141" t="s">
        <v>165</v>
      </c>
      <c r="I11" s="142"/>
      <c r="J11" s="142"/>
      <c r="K11" s="138"/>
      <c r="L11" s="142" t="s">
        <v>22</v>
      </c>
      <c r="M11" s="140" t="s">
        <v>949</v>
      </c>
      <c r="N11" s="143"/>
      <c r="O11" s="134" t="str">
        <f t="shared" si="0"/>
        <v>ST-2413 Cirro's "Astra" Heavy Yacht</v>
      </c>
      <c r="P11" s="35" t="s">
        <v>171</v>
      </c>
    </row>
    <row r="12" spans="1:21" ht="32.6">
      <c r="A12" s="135">
        <v>9</v>
      </c>
      <c r="B12" s="136" t="s">
        <v>928</v>
      </c>
      <c r="C12" s="144">
        <v>1</v>
      </c>
      <c r="D12" s="138"/>
      <c r="E12" s="145"/>
      <c r="F12" s="145"/>
      <c r="G12" s="140"/>
      <c r="H12" s="141" t="s">
        <v>929</v>
      </c>
      <c r="I12" s="142"/>
      <c r="J12" s="142"/>
      <c r="K12" s="138"/>
      <c r="L12" s="142" t="s">
        <v>25</v>
      </c>
      <c r="M12" s="140" t="s">
        <v>930</v>
      </c>
      <c r="N12" s="143"/>
      <c r="O12" s="134" t="str">
        <f t="shared" si="0"/>
        <v>MSX-1 Oxide's "Oblivion Loom" Mobile Starstation</v>
      </c>
      <c r="P12" s="35" t="s">
        <v>934</v>
      </c>
    </row>
    <row r="13" spans="1:21" ht="32.6">
      <c r="A13" s="135">
        <v>10</v>
      </c>
      <c r="B13" s="136" t="s">
        <v>931</v>
      </c>
      <c r="C13" s="144">
        <v>13</v>
      </c>
      <c r="D13" s="138"/>
      <c r="E13" s="145"/>
      <c r="F13" s="145"/>
      <c r="G13" s="140"/>
      <c r="H13" s="141" t="s">
        <v>932</v>
      </c>
      <c r="I13" s="142"/>
      <c r="J13" s="142"/>
      <c r="K13" s="138"/>
      <c r="L13" s="142" t="s">
        <v>17</v>
      </c>
      <c r="M13" s="140" t="s">
        <v>933</v>
      </c>
      <c r="N13" s="143"/>
      <c r="O13" s="134" t="str">
        <f t="shared" si="0"/>
        <v>OXS-13 Oxide's "Vitreous Fang" Light Frigate</v>
      </c>
      <c r="P13" s="35" t="s">
        <v>934</v>
      </c>
    </row>
    <row r="14" spans="1:21">
      <c r="A14" s="135"/>
      <c r="B14" s="136"/>
      <c r="C14" s="144"/>
      <c r="D14" s="138"/>
      <c r="E14" s="145"/>
      <c r="F14" s="145"/>
      <c r="G14" s="140"/>
      <c r="H14" s="141"/>
      <c r="I14" s="142"/>
      <c r="J14" s="142"/>
      <c r="K14" s="138"/>
      <c r="L14" s="142"/>
      <c r="M14" s="140"/>
      <c r="N14" s="143"/>
      <c r="O14" s="134" t="str">
        <f t="shared" si="0"/>
        <v xml:space="preserve">-  </v>
      </c>
    </row>
    <row r="15" spans="1:21">
      <c r="A15" s="135"/>
      <c r="B15" s="136"/>
      <c r="C15" s="144"/>
      <c r="D15" s="138"/>
      <c r="E15" s="145"/>
      <c r="F15" s="145"/>
      <c r="G15" s="140"/>
      <c r="H15" s="141"/>
      <c r="I15" s="142"/>
      <c r="J15" s="142"/>
      <c r="K15" s="138"/>
      <c r="L15" s="142"/>
      <c r="M15" s="140"/>
      <c r="N15" s="143"/>
      <c r="O15" s="134" t="str">
        <f t="shared" si="0"/>
        <v xml:space="preserve">-  </v>
      </c>
    </row>
    <row r="16" spans="1:21">
      <c r="A16" s="135"/>
      <c r="B16" s="136"/>
      <c r="C16" s="144"/>
      <c r="D16" s="138"/>
      <c r="E16" s="145"/>
      <c r="F16" s="145"/>
      <c r="G16" s="140"/>
      <c r="H16" s="141"/>
      <c r="I16" s="142"/>
      <c r="J16" s="142"/>
      <c r="K16" s="138"/>
      <c r="L16" s="142"/>
      <c r="M16" s="140"/>
      <c r="N16" s="143"/>
      <c r="O16" s="134" t="str">
        <f t="shared" si="0"/>
        <v xml:space="preserve">-  </v>
      </c>
    </row>
    <row r="17" spans="1:17" ht="48.9">
      <c r="A17" s="135"/>
      <c r="B17" s="136" t="str">
        <f>"("&amp;B2&amp;")"</f>
        <v>(Model/Architectural Code)</v>
      </c>
      <c r="C17" s="144" t="str">
        <f>"("&amp;C2&amp;")"</f>
        <v>(Model Code)</v>
      </c>
      <c r="D17" s="138"/>
      <c r="E17" s="156" t="str">
        <f>"("&amp;E2&amp;")"</f>
        <v>(Model Changes in Attempt)</v>
      </c>
      <c r="F17" s="145" t="str">
        <f>"("&amp;F2&amp;")"</f>
        <v>(Trial)</v>
      </c>
      <c r="G17" s="140"/>
      <c r="H17" s="141" t="str">
        <f>"("&amp;H2&amp;")"</f>
        <v>(Ship Name)</v>
      </c>
      <c r="I17" s="142"/>
      <c r="J17" s="142" t="str">
        <f>"("&amp;J2&amp;")"</f>
        <v>()</v>
      </c>
      <c r="K17" s="138" t="str">
        <f>"("&amp;K2&amp;")"</f>
        <v>(Usage)</v>
      </c>
      <c r="L17" s="142" t="str">
        <f>"("&amp;L2&amp;")"</f>
        <v>(Prefix)</v>
      </c>
      <c r="M17" s="140" t="str">
        <f>"("&amp;M2&amp;")"</f>
        <v>(Ship Class)</v>
      </c>
      <c r="N17" s="143"/>
      <c r="O17" s="134" t="str">
        <f t="shared" si="0"/>
        <v>(Model/Architectural Code)-(Model Code)(Model Changes in Attempt)(Trial) (owner)'s "(Ship Name)" (affiliation) () (Usage) (Ship (Prefix)class)</v>
      </c>
      <c r="P17" s="35" t="str">
        <f t="shared" ref="P17:Q17" si="1">"("&amp;P2&amp;")"</f>
        <v>(owner)</v>
      </c>
      <c r="Q17" s="35" t="str">
        <f t="shared" si="1"/>
        <v>(affiliation)</v>
      </c>
    </row>
    <row r="18" spans="1:17">
      <c r="A18" s="135"/>
      <c r="B18" s="136" t="s">
        <v>97</v>
      </c>
      <c r="C18" s="144"/>
      <c r="D18" s="138"/>
      <c r="E18" s="145"/>
      <c r="F18" s="145"/>
      <c r="G18" s="140"/>
      <c r="H18" s="141"/>
      <c r="I18" s="142"/>
      <c r="J18" s="142"/>
      <c r="K18" s="138"/>
      <c r="L18" s="142"/>
      <c r="M18" s="140"/>
      <c r="N18" s="143"/>
      <c r="O18" s="134" t="str">
        <f t="shared" si="0"/>
        <v xml:space="preserve">AB-  </v>
      </c>
    </row>
    <row r="19" spans="1:17">
      <c r="A19" s="135"/>
      <c r="B19" s="136"/>
      <c r="C19" s="144">
        <v>12</v>
      </c>
      <c r="D19" s="138"/>
      <c r="E19" s="145"/>
      <c r="F19" s="145"/>
      <c r="G19" s="140"/>
      <c r="H19" s="141"/>
      <c r="I19" s="142"/>
      <c r="J19" s="142"/>
      <c r="K19" s="138"/>
      <c r="L19" s="142"/>
      <c r="M19" s="140"/>
      <c r="N19" s="143"/>
      <c r="O19" s="134" t="str">
        <f t="shared" si="0"/>
        <v xml:space="preserve">-12  </v>
      </c>
    </row>
    <row r="20" spans="1:17">
      <c r="A20" s="135"/>
      <c r="B20" s="136"/>
      <c r="C20" s="144"/>
      <c r="D20" s="138"/>
      <c r="E20" s="145">
        <v>4</v>
      </c>
      <c r="F20" s="145"/>
      <c r="G20" s="140"/>
      <c r="H20" s="141"/>
      <c r="I20" s="142"/>
      <c r="J20" s="142"/>
      <c r="K20" s="138"/>
      <c r="L20" s="142"/>
      <c r="M20" s="140"/>
      <c r="N20" s="143"/>
      <c r="O20" s="134" t="str">
        <f t="shared" si="0"/>
        <v xml:space="preserve">-4  </v>
      </c>
    </row>
    <row r="21" spans="1:17">
      <c r="A21" s="135"/>
      <c r="B21" s="136"/>
      <c r="C21" s="144"/>
      <c r="D21" s="138"/>
      <c r="E21" s="145"/>
      <c r="F21" s="145">
        <v>5</v>
      </c>
      <c r="G21" s="140"/>
      <c r="H21" s="141"/>
      <c r="I21" s="142"/>
      <c r="J21" s="142"/>
      <c r="K21" s="138"/>
      <c r="L21" s="142"/>
      <c r="M21" s="140"/>
      <c r="N21" s="143"/>
      <c r="O21" s="134" t="str">
        <f t="shared" si="0"/>
        <v xml:space="preserve">-5  </v>
      </c>
    </row>
    <row r="22" spans="1:17">
      <c r="A22" s="135"/>
      <c r="B22" s="136"/>
      <c r="C22" s="144"/>
      <c r="D22" s="138"/>
      <c r="E22" s="145"/>
      <c r="F22" s="145"/>
      <c r="G22" s="140"/>
      <c r="H22" s="141" t="s">
        <v>123</v>
      </c>
      <c r="I22" s="142"/>
      <c r="J22" s="142"/>
      <c r="K22" s="138"/>
      <c r="L22" s="142"/>
      <c r="M22" s="140"/>
      <c r="N22" s="143"/>
      <c r="O22" s="134" t="str">
        <f t="shared" si="0"/>
        <v xml:space="preserve">- "Cdef"  </v>
      </c>
    </row>
    <row r="23" spans="1:17">
      <c r="A23" s="135"/>
      <c r="B23" s="136"/>
      <c r="C23" s="144"/>
      <c r="D23" s="138"/>
      <c r="E23" s="145"/>
      <c r="F23" s="145"/>
      <c r="G23" s="140"/>
      <c r="H23" s="141"/>
      <c r="I23" s="142"/>
      <c r="J23" s="142" t="s">
        <v>936</v>
      </c>
      <c r="N23" s="143"/>
      <c r="O23" s="134" t="str">
        <f t="shared" si="0"/>
        <v xml:space="preserve">- abc  </v>
      </c>
    </row>
    <row r="24" spans="1:17">
      <c r="A24" s="135"/>
      <c r="B24" s="136"/>
      <c r="C24" s="144"/>
      <c r="D24" s="138"/>
      <c r="E24" s="145"/>
      <c r="F24" s="145"/>
      <c r="G24" s="140"/>
      <c r="H24" s="141"/>
      <c r="I24" s="142"/>
      <c r="J24" s="142"/>
      <c r="K24" s="138" t="s">
        <v>124</v>
      </c>
      <c r="L24" s="142"/>
      <c r="M24" s="140"/>
      <c r="N24" s="143"/>
      <c r="O24" s="134" t="str">
        <f t="shared" si="0"/>
        <v xml:space="preserve">- Jklmn  </v>
      </c>
    </row>
    <row r="25" spans="1:17">
      <c r="A25" s="135"/>
      <c r="B25" s="136"/>
      <c r="C25" s="144"/>
      <c r="D25" s="138"/>
      <c r="E25" s="145"/>
      <c r="F25" s="145"/>
      <c r="G25" s="140"/>
      <c r="H25" s="141"/>
      <c r="I25" s="142"/>
      <c r="J25" s="142"/>
      <c r="K25" s="138"/>
      <c r="L25" s="142"/>
      <c r="M25" s="140" t="s">
        <v>160</v>
      </c>
      <c r="N25" s="143"/>
      <c r="O25" s="134" t="str">
        <f t="shared" si="0"/>
        <v>-  Opqr</v>
      </c>
    </row>
    <row r="26" spans="1:17">
      <c r="A26" s="135"/>
      <c r="B26" s="136"/>
      <c r="C26" s="144"/>
      <c r="D26" s="138"/>
      <c r="E26" s="145"/>
      <c r="F26" s="145"/>
      <c r="G26" s="140"/>
      <c r="H26" s="141"/>
      <c r="I26" s="142"/>
      <c r="J26" s="142"/>
      <c r="K26" s="138"/>
      <c r="L26" s="142"/>
      <c r="M26" s="140"/>
      <c r="N26" s="143"/>
      <c r="O26" s="134" t="str">
        <f t="shared" si="0"/>
        <v xml:space="preserve">- Stuv's  </v>
      </c>
      <c r="P26" s="35" t="s">
        <v>167</v>
      </c>
    </row>
    <row r="27" spans="1:17">
      <c r="A27" s="135"/>
      <c r="B27" s="136"/>
      <c r="C27" s="144"/>
      <c r="D27" s="138"/>
      <c r="E27" s="145"/>
      <c r="F27" s="145"/>
      <c r="G27" s="140"/>
      <c r="H27" s="141"/>
      <c r="I27" s="142"/>
      <c r="J27" s="142"/>
      <c r="K27" s="138"/>
      <c r="L27" s="142"/>
      <c r="M27" s="140"/>
      <c r="N27" s="143"/>
      <c r="O27" s="134" t="str">
        <f t="shared" si="0"/>
        <v xml:space="preserve">- Wxyz  </v>
      </c>
      <c r="Q27" s="35" t="s">
        <v>122</v>
      </c>
    </row>
    <row r="28" spans="1:17" ht="17" thickBot="1">
      <c r="A28" s="146"/>
      <c r="B28" s="147"/>
      <c r="C28" s="148"/>
      <c r="D28" s="149"/>
      <c r="E28" s="150"/>
      <c r="F28" s="150"/>
      <c r="G28" s="151"/>
      <c r="H28" s="152"/>
      <c r="I28" s="153"/>
      <c r="J28" s="153"/>
      <c r="K28" s="149"/>
      <c r="L28" s="153"/>
      <c r="M28" s="151"/>
      <c r="N28" s="154"/>
      <c r="O28" s="134" t="str">
        <f t="shared" si="0"/>
        <v xml:space="preserve">-  </v>
      </c>
    </row>
    <row r="30" spans="1:17">
      <c r="B30" s="35" t="s">
        <v>75</v>
      </c>
      <c r="C30" s="35" t="s">
        <v>76</v>
      </c>
    </row>
    <row r="31" spans="1:17">
      <c r="B31" s="46" t="s">
        <v>110</v>
      </c>
      <c r="C31" s="47">
        <v>1</v>
      </c>
    </row>
    <row r="32" spans="1:17">
      <c r="B32" s="46" t="s">
        <v>85</v>
      </c>
      <c r="C32" s="47">
        <v>2</v>
      </c>
    </row>
    <row r="33" spans="2:3">
      <c r="B33" s="46" t="s">
        <v>78</v>
      </c>
      <c r="C33" s="47">
        <v>3</v>
      </c>
    </row>
    <row r="34" spans="2:3">
      <c r="B34" s="46" t="s">
        <v>79</v>
      </c>
      <c r="C34" s="47">
        <v>4</v>
      </c>
    </row>
    <row r="35" spans="2:3">
      <c r="B35" s="46" t="s">
        <v>80</v>
      </c>
      <c r="C35" s="47">
        <v>5</v>
      </c>
    </row>
    <row r="36" spans="2:3">
      <c r="B36" s="46" t="s">
        <v>81</v>
      </c>
      <c r="C36" s="47">
        <v>6</v>
      </c>
    </row>
    <row r="37" spans="2:3">
      <c r="B37" s="46" t="s">
        <v>82</v>
      </c>
      <c r="C37" s="47">
        <v>7</v>
      </c>
    </row>
    <row r="38" spans="2:3">
      <c r="B38" s="46" t="s">
        <v>83</v>
      </c>
      <c r="C38" s="47">
        <v>8</v>
      </c>
    </row>
    <row r="39" spans="2:3">
      <c r="B39" s="46" t="s">
        <v>84</v>
      </c>
      <c r="C39" s="47">
        <v>9</v>
      </c>
    </row>
    <row r="40" spans="2:3">
      <c r="B40" s="46" t="s">
        <v>77</v>
      </c>
      <c r="C40" s="47">
        <v>0</v>
      </c>
    </row>
  </sheetData>
  <autoFilter ref="A2:Q2" xr:uid="{1F8535A0-6C55-4A69-994E-7599BCA73916}"/>
  <phoneticPr fontId="5" type="noConversion"/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16BB9-2730-41D3-8B43-B2FDDEFAC338}">
  <sheetPr>
    <tabColor rgb="FF002060"/>
  </sheetPr>
  <dimension ref="A2:F8"/>
  <sheetViews>
    <sheetView topLeftCell="A7" workbookViewId="0">
      <selection activeCell="C35" sqref="C35:C38"/>
    </sheetView>
  </sheetViews>
  <sheetFormatPr defaultRowHeight="14.3"/>
  <cols>
    <col min="1" max="1" width="14.125" style="64" customWidth="1"/>
  </cols>
  <sheetData>
    <row r="2" spans="1:6" ht="28.55">
      <c r="A2" s="64" t="s">
        <v>902</v>
      </c>
      <c r="B2" t="s">
        <v>895</v>
      </c>
      <c r="F2" t="s">
        <v>900</v>
      </c>
    </row>
    <row r="3" spans="1:6">
      <c r="C3" t="s">
        <v>899</v>
      </c>
    </row>
    <row r="4" spans="1:6" ht="28.55">
      <c r="A4" s="64" t="s">
        <v>901</v>
      </c>
      <c r="B4" t="s">
        <v>896</v>
      </c>
    </row>
    <row r="6" spans="1:6">
      <c r="A6" s="64" t="s">
        <v>904</v>
      </c>
      <c r="B6" t="s">
        <v>897</v>
      </c>
    </row>
    <row r="8" spans="1:6">
      <c r="A8" s="64" t="s">
        <v>903</v>
      </c>
      <c r="B8" t="s">
        <v>898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39CA4-34FD-408B-B6BC-30BCAFF6D7CD}">
  <sheetPr>
    <tabColor rgb="FFCCECFF"/>
  </sheetPr>
  <dimension ref="A1:N5"/>
  <sheetViews>
    <sheetView workbookViewId="0">
      <selection activeCell="C3" sqref="C3"/>
    </sheetView>
  </sheetViews>
  <sheetFormatPr defaultRowHeight="14.3"/>
  <sheetData>
    <row r="1" spans="1:14">
      <c r="A1" t="s">
        <v>200</v>
      </c>
      <c r="B1" t="s">
        <v>40</v>
      </c>
      <c r="C1" t="s">
        <v>73</v>
      </c>
      <c r="D1" t="s">
        <v>41</v>
      </c>
      <c r="E1" t="s">
        <v>73</v>
      </c>
      <c r="F1" t="s">
        <v>73</v>
      </c>
      <c r="G1" t="s">
        <v>73</v>
      </c>
      <c r="H1" t="s">
        <v>73</v>
      </c>
      <c r="I1" t="s">
        <v>43</v>
      </c>
      <c r="J1" t="s">
        <v>42</v>
      </c>
      <c r="K1" t="s">
        <v>44</v>
      </c>
      <c r="L1" t="s">
        <v>45</v>
      </c>
      <c r="M1" t="s">
        <v>46</v>
      </c>
      <c r="N1" t="s">
        <v>47</v>
      </c>
    </row>
    <row r="2" spans="1:14">
      <c r="A2" t="s">
        <v>199</v>
      </c>
      <c r="B2" s="68">
        <v>13</v>
      </c>
      <c r="C2" s="68">
        <v>12</v>
      </c>
      <c r="D2" s="68">
        <v>11</v>
      </c>
      <c r="E2" s="68">
        <v>10</v>
      </c>
      <c r="F2" s="68">
        <v>9</v>
      </c>
      <c r="G2" s="68">
        <v>8</v>
      </c>
      <c r="H2" s="68">
        <v>7</v>
      </c>
      <c r="I2" s="68">
        <v>6</v>
      </c>
      <c r="J2" s="68">
        <v>5</v>
      </c>
      <c r="K2" s="68">
        <v>4</v>
      </c>
      <c r="L2" s="68">
        <v>3</v>
      </c>
      <c r="M2" s="68">
        <v>2</v>
      </c>
      <c r="N2" s="68">
        <v>1</v>
      </c>
    </row>
    <row r="3" spans="1:14">
      <c r="A3" t="s">
        <v>201</v>
      </c>
      <c r="B3" s="68">
        <v>10</v>
      </c>
      <c r="D3">
        <v>10</v>
      </c>
      <c r="I3">
        <v>5</v>
      </c>
      <c r="J3">
        <v>5</v>
      </c>
      <c r="K3">
        <v>10</v>
      </c>
      <c r="L3">
        <v>5</v>
      </c>
      <c r="M3">
        <v>1</v>
      </c>
      <c r="N3">
        <v>1</v>
      </c>
    </row>
    <row r="4" spans="1:14">
      <c r="A4" t="s">
        <v>202</v>
      </c>
      <c r="B4">
        <v>5</v>
      </c>
      <c r="D4">
        <v>5</v>
      </c>
      <c r="I4">
        <v>5</v>
      </c>
      <c r="J4">
        <v>5</v>
      </c>
      <c r="K4">
        <v>5</v>
      </c>
      <c r="L4">
        <v>5</v>
      </c>
      <c r="M4">
        <v>1</v>
      </c>
      <c r="N4">
        <v>3</v>
      </c>
    </row>
    <row r="5" spans="1:14">
      <c r="A5" t="s">
        <v>199</v>
      </c>
      <c r="B5" s="68">
        <v>1</v>
      </c>
      <c r="C5" s="68">
        <v>2</v>
      </c>
      <c r="D5" s="68">
        <v>3</v>
      </c>
      <c r="E5" s="68">
        <v>4</v>
      </c>
      <c r="F5" s="68">
        <v>5</v>
      </c>
      <c r="G5" s="68">
        <v>6</v>
      </c>
      <c r="H5" s="68">
        <v>7</v>
      </c>
      <c r="I5" s="68">
        <v>8</v>
      </c>
      <c r="J5" s="68">
        <v>9</v>
      </c>
      <c r="K5" s="68">
        <v>10</v>
      </c>
      <c r="L5" s="68">
        <v>11</v>
      </c>
      <c r="M5" s="68">
        <v>12</v>
      </c>
      <c r="N5" s="68">
        <v>13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2A4B5-7DE3-4074-B793-42035E26F3AD}">
  <dimension ref="B2:D2"/>
  <sheetViews>
    <sheetView workbookViewId="0">
      <selection activeCell="B1" sqref="B1"/>
    </sheetView>
  </sheetViews>
  <sheetFormatPr defaultRowHeight="14.3"/>
  <sheetData>
    <row r="2" spans="2:4">
      <c r="B2" t="s">
        <v>479</v>
      </c>
      <c r="C2" t="s">
        <v>480</v>
      </c>
      <c r="D2" t="s">
        <v>117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B4DBD-B989-47AC-A015-9A9ABD43B67F}">
  <dimension ref="A1:C149"/>
  <sheetViews>
    <sheetView workbookViewId="0">
      <selection activeCell="I46" sqref="I46"/>
    </sheetView>
  </sheetViews>
  <sheetFormatPr defaultRowHeight="14.3"/>
  <cols>
    <col min="1" max="1" width="24.625" bestFit="1" customWidth="1"/>
  </cols>
  <sheetData>
    <row r="1" spans="1:3">
      <c r="A1" t="s">
        <v>277</v>
      </c>
      <c r="B1" t="s">
        <v>784</v>
      </c>
      <c r="C1" t="s">
        <v>785</v>
      </c>
    </row>
    <row r="2" spans="1:3">
      <c r="A2" t="s">
        <v>285</v>
      </c>
      <c r="B2" t="s">
        <v>520</v>
      </c>
      <c r="C2" t="s">
        <v>521</v>
      </c>
    </row>
    <row r="3" spans="1:3">
      <c r="A3" t="s">
        <v>372</v>
      </c>
      <c r="B3" t="s">
        <v>692</v>
      </c>
      <c r="C3" t="s">
        <v>693</v>
      </c>
    </row>
    <row r="4" spans="1:3">
      <c r="A4" t="s">
        <v>299</v>
      </c>
      <c r="B4" t="s">
        <v>546</v>
      </c>
      <c r="C4" t="s">
        <v>547</v>
      </c>
    </row>
    <row r="5" spans="1:3">
      <c r="A5" t="s">
        <v>418</v>
      </c>
      <c r="B5" t="s">
        <v>666</v>
      </c>
      <c r="C5" t="s">
        <v>667</v>
      </c>
    </row>
    <row r="6" spans="1:3">
      <c r="A6" t="s">
        <v>287</v>
      </c>
      <c r="B6" t="s">
        <v>524</v>
      </c>
      <c r="C6" t="s">
        <v>525</v>
      </c>
    </row>
    <row r="7" spans="1:3">
      <c r="A7" t="s">
        <v>304</v>
      </c>
      <c r="B7" t="s">
        <v>554</v>
      </c>
      <c r="C7" t="s">
        <v>555</v>
      </c>
    </row>
    <row r="8" spans="1:3">
      <c r="A8" t="s">
        <v>333</v>
      </c>
      <c r="B8" t="s">
        <v>606</v>
      </c>
      <c r="C8" t="s">
        <v>607</v>
      </c>
    </row>
    <row r="9" spans="1:3">
      <c r="A9" t="s">
        <v>409</v>
      </c>
      <c r="B9" t="s">
        <v>764</v>
      </c>
      <c r="C9" t="s">
        <v>765</v>
      </c>
    </row>
    <row r="10" spans="1:3">
      <c r="A10" t="s">
        <v>300</v>
      </c>
      <c r="B10" t="s">
        <v>548</v>
      </c>
      <c r="C10" t="s">
        <v>549</v>
      </c>
    </row>
    <row r="11" spans="1:3">
      <c r="A11" t="s">
        <v>319</v>
      </c>
      <c r="B11" t="s">
        <v>582</v>
      </c>
      <c r="C11" t="s">
        <v>583</v>
      </c>
    </row>
    <row r="12" spans="1:3">
      <c r="A12" t="s">
        <v>316</v>
      </c>
      <c r="B12" t="s">
        <v>576</v>
      </c>
      <c r="C12" t="s">
        <v>577</v>
      </c>
    </row>
    <row r="13" spans="1:3">
      <c r="A13" t="s">
        <v>424</v>
      </c>
      <c r="B13" t="s">
        <v>676</v>
      </c>
      <c r="C13" t="s">
        <v>677</v>
      </c>
    </row>
    <row r="14" spans="1:3">
      <c r="A14" t="s">
        <v>360</v>
      </c>
      <c r="B14" t="s">
        <v>656</v>
      </c>
      <c r="C14" t="s">
        <v>657</v>
      </c>
    </row>
    <row r="15" spans="1:3">
      <c r="A15" t="s">
        <v>406</v>
      </c>
      <c r="B15" t="s">
        <v>758</v>
      </c>
      <c r="C15" t="s">
        <v>759</v>
      </c>
    </row>
    <row r="16" spans="1:3">
      <c r="A16" t="s">
        <v>280</v>
      </c>
      <c r="B16" t="s">
        <v>510</v>
      </c>
      <c r="C16" t="s">
        <v>511</v>
      </c>
    </row>
    <row r="17" spans="1:3">
      <c r="A17" t="s">
        <v>298</v>
      </c>
      <c r="B17" t="s">
        <v>510</v>
      </c>
      <c r="C17" t="s">
        <v>511</v>
      </c>
    </row>
    <row r="18" spans="1:3">
      <c r="A18" t="s">
        <v>367</v>
      </c>
      <c r="B18" t="s">
        <v>682</v>
      </c>
      <c r="C18" t="s">
        <v>683</v>
      </c>
    </row>
    <row r="19" spans="1:3">
      <c r="A19" t="s">
        <v>322</v>
      </c>
      <c r="B19" t="s">
        <v>586</v>
      </c>
      <c r="C19" t="s">
        <v>587</v>
      </c>
    </row>
    <row r="20" spans="1:3">
      <c r="A20" t="s">
        <v>354</v>
      </c>
      <c r="B20" t="s">
        <v>646</v>
      </c>
      <c r="C20" t="s">
        <v>647</v>
      </c>
    </row>
    <row r="21" spans="1:3">
      <c r="A21" t="s">
        <v>325</v>
      </c>
      <c r="B21" t="s">
        <v>592</v>
      </c>
      <c r="C21" t="s">
        <v>593</v>
      </c>
    </row>
    <row r="22" spans="1:3">
      <c r="A22" t="s">
        <v>397</v>
      </c>
      <c r="B22" t="s">
        <v>742</v>
      </c>
      <c r="C22" t="s">
        <v>743</v>
      </c>
    </row>
    <row r="23" spans="1:3">
      <c r="A23" t="s">
        <v>314</v>
      </c>
      <c r="B23" t="s">
        <v>574</v>
      </c>
      <c r="C23" t="s">
        <v>575</v>
      </c>
    </row>
    <row r="24" spans="1:3">
      <c r="A24" t="s">
        <v>315</v>
      </c>
      <c r="B24" t="s">
        <v>574</v>
      </c>
      <c r="C24" t="s">
        <v>575</v>
      </c>
    </row>
    <row r="25" spans="1:3">
      <c r="A25" t="s">
        <v>361</v>
      </c>
      <c r="B25" t="s">
        <v>658</v>
      </c>
      <c r="C25" t="s">
        <v>659</v>
      </c>
    </row>
    <row r="26" spans="1:3">
      <c r="A26" t="s">
        <v>422</v>
      </c>
      <c r="B26" t="s">
        <v>672</v>
      </c>
      <c r="C26" t="s">
        <v>673</v>
      </c>
    </row>
    <row r="27" spans="1:3">
      <c r="A27" t="s">
        <v>412</v>
      </c>
      <c r="B27" t="s">
        <v>770</v>
      </c>
      <c r="C27" t="s">
        <v>771</v>
      </c>
    </row>
    <row r="28" spans="1:3">
      <c r="A28" t="s">
        <v>392</v>
      </c>
      <c r="B28" t="s">
        <v>734</v>
      </c>
      <c r="C28" t="s">
        <v>735</v>
      </c>
    </row>
    <row r="29" spans="1:3">
      <c r="A29" t="s">
        <v>407</v>
      </c>
      <c r="B29" t="s">
        <v>760</v>
      </c>
      <c r="C29" t="s">
        <v>761</v>
      </c>
    </row>
    <row r="30" spans="1:3">
      <c r="A30" t="s">
        <v>313</v>
      </c>
      <c r="B30" t="s">
        <v>572</v>
      </c>
      <c r="C30" t="s">
        <v>573</v>
      </c>
    </row>
    <row r="31" spans="1:3">
      <c r="A31" t="s">
        <v>419</v>
      </c>
      <c r="B31" t="s">
        <v>678</v>
      </c>
      <c r="C31" t="s">
        <v>679</v>
      </c>
    </row>
    <row r="32" spans="1:3">
      <c r="A32" t="s">
        <v>338</v>
      </c>
      <c r="B32" t="s">
        <v>616</v>
      </c>
      <c r="C32" t="s">
        <v>617</v>
      </c>
    </row>
    <row r="33" spans="1:3">
      <c r="A33" t="s">
        <v>307</v>
      </c>
      <c r="B33" t="s">
        <v>560</v>
      </c>
      <c r="C33" t="s">
        <v>561</v>
      </c>
    </row>
    <row r="34" spans="1:3">
      <c r="A34" t="s">
        <v>291</v>
      </c>
      <c r="B34" t="s">
        <v>532</v>
      </c>
      <c r="C34" t="s">
        <v>533</v>
      </c>
    </row>
    <row r="35" spans="1:3">
      <c r="A35" t="s">
        <v>295</v>
      </c>
      <c r="B35" t="s">
        <v>540</v>
      </c>
      <c r="C35" t="s">
        <v>541</v>
      </c>
    </row>
    <row r="36" spans="1:3">
      <c r="A36" t="s">
        <v>393</v>
      </c>
      <c r="B36" t="s">
        <v>728</v>
      </c>
      <c r="C36" t="s">
        <v>729</v>
      </c>
    </row>
    <row r="37" spans="1:3">
      <c r="A37" t="s">
        <v>420</v>
      </c>
      <c r="B37" t="s">
        <v>664</v>
      </c>
      <c r="C37" t="s">
        <v>665</v>
      </c>
    </row>
    <row r="38" spans="1:3">
      <c r="A38" t="s">
        <v>320</v>
      </c>
      <c r="B38" t="s">
        <v>584</v>
      </c>
      <c r="C38" t="s">
        <v>585</v>
      </c>
    </row>
    <row r="39" spans="1:3">
      <c r="A39" t="s">
        <v>321</v>
      </c>
      <c r="B39" t="s">
        <v>584</v>
      </c>
      <c r="C39" t="s">
        <v>585</v>
      </c>
    </row>
    <row r="40" spans="1:3">
      <c r="A40" t="s">
        <v>402</v>
      </c>
      <c r="B40" t="s">
        <v>752</v>
      </c>
      <c r="C40" t="s">
        <v>753</v>
      </c>
    </row>
    <row r="41" spans="1:3">
      <c r="A41" t="s">
        <v>375</v>
      </c>
      <c r="B41" t="s">
        <v>698</v>
      </c>
      <c r="C41" t="s">
        <v>699</v>
      </c>
    </row>
    <row r="42" spans="1:3">
      <c r="A42" t="s">
        <v>403</v>
      </c>
      <c r="B42" t="s">
        <v>754</v>
      </c>
      <c r="C42" t="s">
        <v>755</v>
      </c>
    </row>
    <row r="43" spans="1:3">
      <c r="A43" t="s">
        <v>404</v>
      </c>
      <c r="B43" t="s">
        <v>754</v>
      </c>
      <c r="C43" t="s">
        <v>755</v>
      </c>
    </row>
    <row r="44" spans="1:3">
      <c r="A44" t="s">
        <v>356</v>
      </c>
      <c r="B44" t="s">
        <v>650</v>
      </c>
      <c r="C44" t="s">
        <v>651</v>
      </c>
    </row>
    <row r="45" spans="1:3">
      <c r="A45" t="s">
        <v>357</v>
      </c>
      <c r="B45" t="s">
        <v>650</v>
      </c>
      <c r="C45" t="s">
        <v>651</v>
      </c>
    </row>
    <row r="46" spans="1:3">
      <c r="A46" t="s">
        <v>423</v>
      </c>
      <c r="B46" t="s">
        <v>674</v>
      </c>
      <c r="C46" t="s">
        <v>675</v>
      </c>
    </row>
    <row r="47" spans="1:3">
      <c r="A47" t="s">
        <v>343</v>
      </c>
      <c r="B47" t="s">
        <v>626</v>
      </c>
      <c r="C47" t="s">
        <v>627</v>
      </c>
    </row>
    <row r="48" spans="1:3">
      <c r="A48" t="s">
        <v>292</v>
      </c>
      <c r="B48" t="s">
        <v>534</v>
      </c>
      <c r="C48" t="s">
        <v>535</v>
      </c>
    </row>
    <row r="49" spans="1:3">
      <c r="A49" t="s">
        <v>281</v>
      </c>
      <c r="B49" t="s">
        <v>512</v>
      </c>
      <c r="C49" t="s">
        <v>513</v>
      </c>
    </row>
    <row r="50" spans="1:3">
      <c r="A50" t="s">
        <v>364</v>
      </c>
      <c r="B50" t="s">
        <v>662</v>
      </c>
      <c r="C50" t="s">
        <v>663</v>
      </c>
    </row>
    <row r="51" spans="1:3">
      <c r="A51" t="s">
        <v>389</v>
      </c>
      <c r="B51" t="s">
        <v>726</v>
      </c>
      <c r="C51" t="s">
        <v>727</v>
      </c>
    </row>
    <row r="52" spans="1:3">
      <c r="A52" t="s">
        <v>374</v>
      </c>
      <c r="B52" t="s">
        <v>696</v>
      </c>
      <c r="C52" t="s">
        <v>697</v>
      </c>
    </row>
    <row r="53" spans="1:3">
      <c r="A53" t="s">
        <v>331</v>
      </c>
      <c r="B53" t="s">
        <v>604</v>
      </c>
      <c r="C53" t="s">
        <v>605</v>
      </c>
    </row>
    <row r="54" spans="1:3">
      <c r="A54" t="s">
        <v>332</v>
      </c>
      <c r="B54" t="s">
        <v>604</v>
      </c>
      <c r="C54" t="s">
        <v>605</v>
      </c>
    </row>
    <row r="55" spans="1:3">
      <c r="A55" t="s">
        <v>401</v>
      </c>
      <c r="B55" t="s">
        <v>750</v>
      </c>
      <c r="C55" t="s">
        <v>751</v>
      </c>
    </row>
    <row r="56" spans="1:3">
      <c r="A56" t="s">
        <v>355</v>
      </c>
      <c r="B56" t="s">
        <v>648</v>
      </c>
      <c r="C56" t="s">
        <v>649</v>
      </c>
    </row>
    <row r="57" spans="1:3">
      <c r="A57" t="s">
        <v>288</v>
      </c>
      <c r="B57" t="s">
        <v>526</v>
      </c>
      <c r="C57" t="s">
        <v>527</v>
      </c>
    </row>
    <row r="58" spans="1:3">
      <c r="A58" t="s">
        <v>310</v>
      </c>
      <c r="B58" t="s">
        <v>566</v>
      </c>
      <c r="C58" t="s">
        <v>567</v>
      </c>
    </row>
    <row r="59" spans="1:3">
      <c r="A59" t="s">
        <v>306</v>
      </c>
      <c r="B59" t="s">
        <v>558</v>
      </c>
      <c r="C59" t="s">
        <v>559</v>
      </c>
    </row>
    <row r="60" spans="1:3">
      <c r="A60" t="s">
        <v>394</v>
      </c>
      <c r="B60" t="s">
        <v>736</v>
      </c>
      <c r="C60" t="s">
        <v>737</v>
      </c>
    </row>
    <row r="61" spans="1:3">
      <c r="A61" t="s">
        <v>312</v>
      </c>
      <c r="B61" t="s">
        <v>570</v>
      </c>
      <c r="C61" t="s">
        <v>571</v>
      </c>
    </row>
    <row r="62" spans="1:3">
      <c r="A62" t="s">
        <v>351</v>
      </c>
      <c r="B62" t="s">
        <v>640</v>
      </c>
      <c r="C62" t="s">
        <v>641</v>
      </c>
    </row>
    <row r="63" spans="1:3">
      <c r="A63" t="s">
        <v>421</v>
      </c>
      <c r="B63" t="s">
        <v>670</v>
      </c>
      <c r="C63" t="s">
        <v>671</v>
      </c>
    </row>
    <row r="64" spans="1:3">
      <c r="A64" t="s">
        <v>317</v>
      </c>
      <c r="B64" t="s">
        <v>578</v>
      </c>
      <c r="C64" t="s">
        <v>579</v>
      </c>
    </row>
    <row r="65" spans="1:3">
      <c r="A65" t="s">
        <v>380</v>
      </c>
      <c r="B65" t="s">
        <v>708</v>
      </c>
      <c r="C65" t="s">
        <v>709</v>
      </c>
    </row>
    <row r="66" spans="1:3">
      <c r="A66" t="s">
        <v>309</v>
      </c>
      <c r="B66" t="s">
        <v>564</v>
      </c>
      <c r="C66" t="s">
        <v>565</v>
      </c>
    </row>
    <row r="67" spans="1:3">
      <c r="A67" t="s">
        <v>417</v>
      </c>
      <c r="B67" t="s">
        <v>782</v>
      </c>
      <c r="C67" t="s">
        <v>783</v>
      </c>
    </row>
    <row r="68" spans="1:3">
      <c r="A68" t="s">
        <v>399</v>
      </c>
      <c r="B68" t="s">
        <v>746</v>
      </c>
      <c r="C68" t="s">
        <v>747</v>
      </c>
    </row>
    <row r="69" spans="1:3">
      <c r="A69" t="s">
        <v>289</v>
      </c>
      <c r="B69" t="s">
        <v>528</v>
      </c>
      <c r="C69" t="s">
        <v>529</v>
      </c>
    </row>
    <row r="70" spans="1:3">
      <c r="A70" t="s">
        <v>302</v>
      </c>
      <c r="B70" t="s">
        <v>552</v>
      </c>
      <c r="C70" t="s">
        <v>553</v>
      </c>
    </row>
    <row r="71" spans="1:3">
      <c r="A71" t="s">
        <v>303</v>
      </c>
      <c r="B71" t="s">
        <v>552</v>
      </c>
      <c r="C71" t="s">
        <v>553</v>
      </c>
    </row>
    <row r="72" spans="1:3">
      <c r="A72" t="s">
        <v>345</v>
      </c>
      <c r="B72" t="s">
        <v>630</v>
      </c>
      <c r="C72" t="s">
        <v>631</v>
      </c>
    </row>
    <row r="73" spans="1:3">
      <c r="A73" t="s">
        <v>334</v>
      </c>
      <c r="B73" t="s">
        <v>608</v>
      </c>
      <c r="C73" t="s">
        <v>609</v>
      </c>
    </row>
    <row r="74" spans="1:3">
      <c r="A74" t="s">
        <v>381</v>
      </c>
      <c r="B74" t="s">
        <v>710</v>
      </c>
      <c r="C74" t="s">
        <v>711</v>
      </c>
    </row>
    <row r="75" spans="1:3">
      <c r="A75" t="s">
        <v>358</v>
      </c>
      <c r="B75" t="s">
        <v>652</v>
      </c>
      <c r="C75" t="s">
        <v>653</v>
      </c>
    </row>
    <row r="76" spans="1:3">
      <c r="A76" t="s">
        <v>388</v>
      </c>
      <c r="B76" t="s">
        <v>724</v>
      </c>
      <c r="C76" t="s">
        <v>725</v>
      </c>
    </row>
    <row r="77" spans="1:3">
      <c r="A77" t="s">
        <v>323</v>
      </c>
      <c r="B77" t="s">
        <v>588</v>
      </c>
      <c r="C77" t="s">
        <v>589</v>
      </c>
    </row>
    <row r="78" spans="1:3">
      <c r="A78" t="s">
        <v>301</v>
      </c>
      <c r="B78" t="s">
        <v>550</v>
      </c>
      <c r="C78" t="s">
        <v>551</v>
      </c>
    </row>
    <row r="79" spans="1:3">
      <c r="A79" t="s">
        <v>365</v>
      </c>
      <c r="B79" t="s">
        <v>668</v>
      </c>
      <c r="C79" t="s">
        <v>669</v>
      </c>
    </row>
    <row r="80" spans="1:3">
      <c r="A80" t="s">
        <v>391</v>
      </c>
      <c r="B80" t="s">
        <v>732</v>
      </c>
      <c r="C80" t="s">
        <v>733</v>
      </c>
    </row>
    <row r="81" spans="1:3">
      <c r="A81" t="s">
        <v>305</v>
      </c>
      <c r="B81" t="s">
        <v>556</v>
      </c>
      <c r="C81" t="s">
        <v>557</v>
      </c>
    </row>
    <row r="82" spans="1:3">
      <c r="A82" t="s">
        <v>400</v>
      </c>
      <c r="B82" t="s">
        <v>748</v>
      </c>
      <c r="C82" t="s">
        <v>749</v>
      </c>
    </row>
    <row r="83" spans="1:3">
      <c r="A83" t="s">
        <v>366</v>
      </c>
      <c r="B83" t="s">
        <v>680</v>
      </c>
      <c r="C83" t="s">
        <v>681</v>
      </c>
    </row>
    <row r="84" spans="1:3">
      <c r="A84" t="s">
        <v>337</v>
      </c>
      <c r="B84" t="s">
        <v>614</v>
      </c>
      <c r="C84" t="s">
        <v>615</v>
      </c>
    </row>
    <row r="85" spans="1:3">
      <c r="A85" t="s">
        <v>385</v>
      </c>
      <c r="B85" t="s">
        <v>718</v>
      </c>
      <c r="C85" t="s">
        <v>719</v>
      </c>
    </row>
    <row r="86" spans="1:3">
      <c r="A86" t="s">
        <v>293</v>
      </c>
      <c r="B86" t="s">
        <v>536</v>
      </c>
      <c r="C86" t="s">
        <v>537</v>
      </c>
    </row>
    <row r="87" spans="1:3">
      <c r="A87" t="s">
        <v>408</v>
      </c>
      <c r="B87" t="s">
        <v>762</v>
      </c>
      <c r="C87" t="s">
        <v>763</v>
      </c>
    </row>
    <row r="88" spans="1:3">
      <c r="A88" t="s">
        <v>349</v>
      </c>
      <c r="B88" t="s">
        <v>638</v>
      </c>
      <c r="C88" t="s">
        <v>639</v>
      </c>
    </row>
    <row r="89" spans="1:3">
      <c r="A89" t="s">
        <v>350</v>
      </c>
      <c r="B89" t="s">
        <v>638</v>
      </c>
      <c r="C89" t="s">
        <v>639</v>
      </c>
    </row>
    <row r="90" spans="1:3">
      <c r="A90" t="s">
        <v>410</v>
      </c>
      <c r="B90" t="s">
        <v>766</v>
      </c>
      <c r="C90" t="s">
        <v>767</v>
      </c>
    </row>
    <row r="91" spans="1:3">
      <c r="A91" t="s">
        <v>378</v>
      </c>
      <c r="B91" t="s">
        <v>704</v>
      </c>
      <c r="C91" t="s">
        <v>705</v>
      </c>
    </row>
    <row r="92" spans="1:3">
      <c r="A92" t="s">
        <v>330</v>
      </c>
      <c r="B92" t="s">
        <v>602</v>
      </c>
      <c r="C92" t="s">
        <v>603</v>
      </c>
    </row>
    <row r="93" spans="1:3">
      <c r="A93" t="s">
        <v>382</v>
      </c>
      <c r="B93" t="s">
        <v>712</v>
      </c>
      <c r="C93" t="s">
        <v>713</v>
      </c>
    </row>
    <row r="94" spans="1:3">
      <c r="A94" t="s">
        <v>297</v>
      </c>
      <c r="B94" t="s">
        <v>544</v>
      </c>
      <c r="C94" t="s">
        <v>545</v>
      </c>
    </row>
    <row r="95" spans="1:3">
      <c r="A95" t="s">
        <v>327</v>
      </c>
      <c r="B95" t="s">
        <v>596</v>
      </c>
      <c r="C95" t="s">
        <v>597</v>
      </c>
    </row>
    <row r="96" spans="1:3">
      <c r="A96" t="s">
        <v>387</v>
      </c>
      <c r="B96" t="s">
        <v>722</v>
      </c>
      <c r="C96" t="s">
        <v>723</v>
      </c>
    </row>
    <row r="97" spans="1:3">
      <c r="A97" t="s">
        <v>290</v>
      </c>
      <c r="B97" t="s">
        <v>530</v>
      </c>
      <c r="C97" t="s">
        <v>531</v>
      </c>
    </row>
    <row r="98" spans="1:3">
      <c r="A98" t="s">
        <v>347</v>
      </c>
      <c r="B98" t="s">
        <v>634</v>
      </c>
      <c r="C98" t="s">
        <v>635</v>
      </c>
    </row>
    <row r="99" spans="1:3">
      <c r="A99" t="s">
        <v>341</v>
      </c>
      <c r="B99" t="s">
        <v>622</v>
      </c>
      <c r="C99" t="s">
        <v>623</v>
      </c>
    </row>
    <row r="100" spans="1:3">
      <c r="A100" t="s">
        <v>311</v>
      </c>
      <c r="B100" t="s">
        <v>568</v>
      </c>
      <c r="C100" t="s">
        <v>569</v>
      </c>
    </row>
    <row r="101" spans="1:3">
      <c r="A101" t="s">
        <v>413</v>
      </c>
      <c r="B101" t="s">
        <v>772</v>
      </c>
      <c r="C101" t="s">
        <v>773</v>
      </c>
    </row>
    <row r="102" spans="1:3">
      <c r="A102" t="s">
        <v>379</v>
      </c>
      <c r="B102" t="s">
        <v>706</v>
      </c>
      <c r="C102" t="s">
        <v>707</v>
      </c>
    </row>
    <row r="103" spans="1:3">
      <c r="A103" t="s">
        <v>346</v>
      </c>
      <c r="B103" t="s">
        <v>632</v>
      </c>
      <c r="C103" t="s">
        <v>633</v>
      </c>
    </row>
    <row r="104" spans="1:3">
      <c r="A104" t="s">
        <v>340</v>
      </c>
      <c r="B104" t="s">
        <v>620</v>
      </c>
      <c r="C104" t="s">
        <v>621</v>
      </c>
    </row>
    <row r="105" spans="1:3">
      <c r="A105" t="s">
        <v>278</v>
      </c>
      <c r="B105" t="s">
        <v>506</v>
      </c>
      <c r="C105" t="s">
        <v>507</v>
      </c>
    </row>
    <row r="106" spans="1:3">
      <c r="A106" t="s">
        <v>335</v>
      </c>
      <c r="B106" t="s">
        <v>610</v>
      </c>
      <c r="C106" t="s">
        <v>611</v>
      </c>
    </row>
    <row r="107" spans="1:3">
      <c r="A107" t="s">
        <v>282</v>
      </c>
      <c r="B107" t="s">
        <v>514</v>
      </c>
      <c r="C107" t="s">
        <v>515</v>
      </c>
    </row>
    <row r="108" spans="1:3">
      <c r="A108" t="s">
        <v>396</v>
      </c>
      <c r="B108" t="s">
        <v>740</v>
      </c>
      <c r="C108" t="s">
        <v>741</v>
      </c>
    </row>
    <row r="109" spans="1:3">
      <c r="A109" t="s">
        <v>414</v>
      </c>
      <c r="B109" t="s">
        <v>774</v>
      </c>
      <c r="C109" t="s">
        <v>775</v>
      </c>
    </row>
    <row r="110" spans="1:3">
      <c r="A110" t="s">
        <v>283</v>
      </c>
      <c r="B110" t="s">
        <v>516</v>
      </c>
      <c r="C110" t="s">
        <v>517</v>
      </c>
    </row>
    <row r="111" spans="1:3">
      <c r="A111" t="s">
        <v>415</v>
      </c>
      <c r="B111" t="s">
        <v>778</v>
      </c>
      <c r="C111" t="s">
        <v>779</v>
      </c>
    </row>
    <row r="112" spans="1:3">
      <c r="A112" t="s">
        <v>368</v>
      </c>
      <c r="B112" t="s">
        <v>684</v>
      </c>
      <c r="C112" t="s">
        <v>685</v>
      </c>
    </row>
    <row r="113" spans="1:3">
      <c r="A113" t="s">
        <v>328</v>
      </c>
      <c r="B113" t="s">
        <v>598</v>
      </c>
      <c r="C113" t="s">
        <v>599</v>
      </c>
    </row>
    <row r="114" spans="1:3">
      <c r="A114" t="s">
        <v>395</v>
      </c>
      <c r="B114" t="s">
        <v>738</v>
      </c>
      <c r="C114" t="s">
        <v>739</v>
      </c>
    </row>
    <row r="115" spans="1:3">
      <c r="A115" t="s">
        <v>279</v>
      </c>
      <c r="B115" t="s">
        <v>508</v>
      </c>
      <c r="C115" t="s">
        <v>509</v>
      </c>
    </row>
    <row r="116" spans="1:3">
      <c r="A116" t="s">
        <v>362</v>
      </c>
      <c r="B116" t="s">
        <v>660</v>
      </c>
      <c r="C116" t="s">
        <v>661</v>
      </c>
    </row>
    <row r="117" spans="1:3">
      <c r="A117" t="s">
        <v>348</v>
      </c>
      <c r="B117" t="s">
        <v>636</v>
      </c>
      <c r="C117" t="s">
        <v>637</v>
      </c>
    </row>
    <row r="118" spans="1:3">
      <c r="A118" t="s">
        <v>373</v>
      </c>
      <c r="B118" t="s">
        <v>694</v>
      </c>
      <c r="C118" t="s">
        <v>695</v>
      </c>
    </row>
    <row r="119" spans="1:3">
      <c r="A119" t="s">
        <v>390</v>
      </c>
      <c r="B119" t="s">
        <v>730</v>
      </c>
      <c r="C119" t="s">
        <v>731</v>
      </c>
    </row>
    <row r="120" spans="1:3">
      <c r="A120" t="s">
        <v>326</v>
      </c>
      <c r="B120" t="s">
        <v>594</v>
      </c>
      <c r="C120" t="s">
        <v>595</v>
      </c>
    </row>
    <row r="121" spans="1:3">
      <c r="A121" t="s">
        <v>363</v>
      </c>
      <c r="B121" t="s">
        <v>594</v>
      </c>
      <c r="C121" t="s">
        <v>595</v>
      </c>
    </row>
    <row r="122" spans="1:3">
      <c r="A122" t="s">
        <v>318</v>
      </c>
      <c r="B122" t="s">
        <v>580</v>
      </c>
      <c r="C122" t="s">
        <v>581</v>
      </c>
    </row>
    <row r="123" spans="1:3">
      <c r="A123" t="s">
        <v>377</v>
      </c>
      <c r="B123" t="s">
        <v>702</v>
      </c>
      <c r="C123" t="s">
        <v>703</v>
      </c>
    </row>
    <row r="124" spans="1:3">
      <c r="A124" t="s">
        <v>411</v>
      </c>
      <c r="B124" t="s">
        <v>768</v>
      </c>
      <c r="C124" t="s">
        <v>769</v>
      </c>
    </row>
    <row r="125" spans="1:3">
      <c r="A125" t="s">
        <v>336</v>
      </c>
      <c r="B125" t="s">
        <v>612</v>
      </c>
      <c r="C125" t="s">
        <v>613</v>
      </c>
    </row>
    <row r="126" spans="1:3">
      <c r="A126" t="s">
        <v>294</v>
      </c>
      <c r="B126" t="s">
        <v>538</v>
      </c>
      <c r="C126" t="s">
        <v>539</v>
      </c>
    </row>
    <row r="127" spans="1:3">
      <c r="A127" t="s">
        <v>308</v>
      </c>
      <c r="B127" t="s">
        <v>562</v>
      </c>
      <c r="C127" t="s">
        <v>563</v>
      </c>
    </row>
    <row r="128" spans="1:3">
      <c r="A128" t="s">
        <v>353</v>
      </c>
      <c r="B128" t="s">
        <v>644</v>
      </c>
      <c r="C128" t="s">
        <v>645</v>
      </c>
    </row>
    <row r="129" spans="1:3">
      <c r="A129" t="s">
        <v>376</v>
      </c>
      <c r="B129" t="s">
        <v>700</v>
      </c>
      <c r="C129" t="s">
        <v>701</v>
      </c>
    </row>
    <row r="130" spans="1:3">
      <c r="A130" t="s">
        <v>352</v>
      </c>
      <c r="B130" t="s">
        <v>642</v>
      </c>
      <c r="C130" t="s">
        <v>643</v>
      </c>
    </row>
    <row r="131" spans="1:3">
      <c r="A131" t="s">
        <v>386</v>
      </c>
      <c r="B131" t="s">
        <v>720</v>
      </c>
      <c r="C131" t="s">
        <v>721</v>
      </c>
    </row>
    <row r="132" spans="1:3">
      <c r="A132" t="s">
        <v>329</v>
      </c>
      <c r="B132" t="s">
        <v>600</v>
      </c>
      <c r="C132" t="s">
        <v>601</v>
      </c>
    </row>
    <row r="133" spans="1:3">
      <c r="A133" t="s">
        <v>384</v>
      </c>
      <c r="B133" t="s">
        <v>716</v>
      </c>
      <c r="C133" t="s">
        <v>717</v>
      </c>
    </row>
    <row r="134" spans="1:3">
      <c r="A134" t="s">
        <v>371</v>
      </c>
      <c r="B134" t="s">
        <v>690</v>
      </c>
      <c r="C134" t="s">
        <v>691</v>
      </c>
    </row>
    <row r="135" spans="1:3">
      <c r="A135" t="s">
        <v>370</v>
      </c>
      <c r="B135" t="s">
        <v>688</v>
      </c>
      <c r="C135" t="s">
        <v>689</v>
      </c>
    </row>
    <row r="136" spans="1:3">
      <c r="A136" t="s">
        <v>284</v>
      </c>
      <c r="B136" t="s">
        <v>518</v>
      </c>
      <c r="C136" t="s">
        <v>519</v>
      </c>
    </row>
    <row r="137" spans="1:3">
      <c r="A137" t="s">
        <v>369</v>
      </c>
      <c r="B137" t="s">
        <v>686</v>
      </c>
      <c r="C137" t="s">
        <v>687</v>
      </c>
    </row>
    <row r="138" spans="1:3">
      <c r="A138" t="s">
        <v>286</v>
      </c>
      <c r="B138" t="s">
        <v>522</v>
      </c>
      <c r="C138" t="s">
        <v>523</v>
      </c>
    </row>
    <row r="139" spans="1:3">
      <c r="A139" t="s">
        <v>383</v>
      </c>
      <c r="B139" t="s">
        <v>714</v>
      </c>
      <c r="C139" t="s">
        <v>715</v>
      </c>
    </row>
    <row r="140" spans="1:3">
      <c r="A140" t="s">
        <v>342</v>
      </c>
      <c r="B140" t="s">
        <v>624</v>
      </c>
      <c r="C140" t="s">
        <v>625</v>
      </c>
    </row>
    <row r="141" spans="1:3">
      <c r="A141" t="s">
        <v>398</v>
      </c>
      <c r="B141" t="s">
        <v>744</v>
      </c>
      <c r="C141" t="s">
        <v>745</v>
      </c>
    </row>
    <row r="142" spans="1:3">
      <c r="A142" t="s">
        <v>296</v>
      </c>
      <c r="B142" t="s">
        <v>542</v>
      </c>
      <c r="C142" t="s">
        <v>543</v>
      </c>
    </row>
    <row r="143" spans="1:3">
      <c r="A143" t="s">
        <v>344</v>
      </c>
      <c r="B143" t="s">
        <v>628</v>
      </c>
      <c r="C143" t="s">
        <v>629</v>
      </c>
    </row>
    <row r="144" spans="1:3">
      <c r="A144" t="s">
        <v>324</v>
      </c>
      <c r="B144" t="s">
        <v>590</v>
      </c>
      <c r="C144" t="s">
        <v>591</v>
      </c>
    </row>
    <row r="145" spans="1:3">
      <c r="A145" t="s">
        <v>405</v>
      </c>
      <c r="B145" t="s">
        <v>756</v>
      </c>
      <c r="C145" t="s">
        <v>757</v>
      </c>
    </row>
    <row r="146" spans="1:3">
      <c r="A146" t="s">
        <v>416</v>
      </c>
      <c r="B146" t="s">
        <v>780</v>
      </c>
      <c r="C146" t="s">
        <v>781</v>
      </c>
    </row>
    <row r="147" spans="1:3">
      <c r="A147" t="s">
        <v>359</v>
      </c>
      <c r="B147" t="s">
        <v>654</v>
      </c>
      <c r="C147" t="s">
        <v>655</v>
      </c>
    </row>
    <row r="148" spans="1:3">
      <c r="A148" t="s">
        <v>339</v>
      </c>
      <c r="B148" t="s">
        <v>618</v>
      </c>
      <c r="C148" t="s">
        <v>619</v>
      </c>
    </row>
    <row r="149" spans="1:3">
      <c r="A149" t="s">
        <v>271</v>
      </c>
      <c r="B149" t="s">
        <v>776</v>
      </c>
      <c r="C149" t="s">
        <v>777</v>
      </c>
    </row>
  </sheetData>
  <autoFilter ref="A1:C1" xr:uid="{E89B4DBD-B989-47AC-A015-9A9ABD43B67F}">
    <sortState xmlns:xlrd2="http://schemas.microsoft.com/office/spreadsheetml/2017/richdata2" ref="A2:C149">
      <sortCondition ref="B1"/>
    </sortState>
  </autoFilter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38563-D0D2-44A1-B89F-75C7FCD48231}">
  <sheetPr>
    <tabColor rgb="FFFFC000"/>
  </sheetPr>
  <dimension ref="A1:G7"/>
  <sheetViews>
    <sheetView workbookViewId="0">
      <selection activeCell="I46" sqref="I46"/>
    </sheetView>
  </sheetViews>
  <sheetFormatPr defaultRowHeight="14.3"/>
  <cols>
    <col min="1" max="1" width="4.75" bestFit="1" customWidth="1"/>
    <col min="2" max="2" width="7.375" bestFit="1" customWidth="1"/>
    <col min="3" max="3" width="9.5" bestFit="1" customWidth="1"/>
    <col min="4" max="4" width="9.5" customWidth="1"/>
    <col min="5" max="5" width="10.375" bestFit="1" customWidth="1"/>
    <col min="6" max="6" width="10.375" customWidth="1"/>
    <col min="7" max="7" width="9.875" bestFit="1" customWidth="1"/>
  </cols>
  <sheetData>
    <row r="1" spans="1:7">
      <c r="C1" t="s">
        <v>798</v>
      </c>
      <c r="E1" t="s">
        <v>799</v>
      </c>
      <c r="G1" t="s">
        <v>800</v>
      </c>
    </row>
    <row r="2" spans="1:7">
      <c r="A2" t="s">
        <v>794</v>
      </c>
      <c r="B2" t="s">
        <v>801</v>
      </c>
      <c r="C2" s="104" t="str">
        <f t="shared" ref="C2:G5" si="0">$B2&amp;C$1</f>
        <v>Stellarite</v>
      </c>
      <c r="E2" s="104" t="str">
        <f t="shared" si="0"/>
        <v>Stellarium</v>
      </c>
      <c r="G2" t="str">
        <f t="shared" si="0"/>
        <v>Stellarine</v>
      </c>
    </row>
    <row r="3" spans="1:7">
      <c r="B3" t="s">
        <v>802</v>
      </c>
      <c r="C3" s="104" t="str">
        <f t="shared" si="0"/>
        <v>Cosmonite</v>
      </c>
      <c r="E3" s="104" t="str">
        <f t="shared" si="0"/>
        <v>Cosmonium</v>
      </c>
      <c r="G3" t="str">
        <f t="shared" si="0"/>
        <v>Cosmonine</v>
      </c>
    </row>
    <row r="4" spans="1:7">
      <c r="B4" t="s">
        <v>803</v>
      </c>
      <c r="C4" s="104" t="str">
        <f t="shared" si="0"/>
        <v>Nebulite</v>
      </c>
      <c r="E4" s="104" t="str">
        <f t="shared" si="0"/>
        <v>Nebulium</v>
      </c>
      <c r="G4" s="104" t="str">
        <f t="shared" si="0"/>
        <v>Nebuline</v>
      </c>
    </row>
    <row r="5" spans="1:7">
      <c r="B5" t="s">
        <v>804</v>
      </c>
      <c r="C5" s="104" t="str">
        <f t="shared" si="0"/>
        <v>Solarite</v>
      </c>
      <c r="E5" t="str">
        <f t="shared" si="0"/>
        <v>Solarium</v>
      </c>
      <c r="G5" t="str">
        <f t="shared" si="0"/>
        <v>Solarine</v>
      </c>
    </row>
    <row r="6" spans="1:7">
      <c r="B6" t="s">
        <v>805</v>
      </c>
      <c r="C6" s="104" t="str">
        <f t="shared" ref="C6:E7" si="1">$B6&amp;C$1</f>
        <v>Lunarite</v>
      </c>
      <c r="E6" s="104" t="str">
        <f t="shared" si="1"/>
        <v>Lunarium</v>
      </c>
      <c r="G6" s="104" t="str">
        <f>$B6&amp;G$1</f>
        <v>Lunarine</v>
      </c>
    </row>
    <row r="7" spans="1:7">
      <c r="B7" t="s">
        <v>806</v>
      </c>
      <c r="C7" s="104" t="str">
        <f t="shared" si="1"/>
        <v>Celestite</v>
      </c>
      <c r="E7" s="104" t="str">
        <f t="shared" si="1"/>
        <v>Celestium</v>
      </c>
      <c r="F7" t="s">
        <v>820</v>
      </c>
      <c r="G7" t="str">
        <f>$B7&amp;G$1</f>
        <v>Celestine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A5E4C-B209-456A-BF4B-C5BF69C6C18E}">
  <sheetPr>
    <tabColor rgb="FF92D050"/>
  </sheetPr>
  <dimension ref="A1:C2"/>
  <sheetViews>
    <sheetView workbookViewId="0">
      <selection activeCell="I33" sqref="I33"/>
    </sheetView>
  </sheetViews>
  <sheetFormatPr defaultRowHeight="14.3"/>
  <sheetData>
    <row r="1" spans="1:3">
      <c r="A1" t="s">
        <v>909</v>
      </c>
      <c r="B1" t="s">
        <v>910</v>
      </c>
    </row>
    <row r="2" spans="1:3">
      <c r="B2" t="s">
        <v>911</v>
      </c>
      <c r="C2" t="s">
        <v>912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BBDB5-E73F-46EF-93A0-A639463239AE}">
  <sheetPr>
    <tabColor rgb="FF00B0F0"/>
  </sheetPr>
  <dimension ref="B1:F1"/>
  <sheetViews>
    <sheetView workbookViewId="0">
      <selection activeCell="R13" sqref="R13"/>
    </sheetView>
  </sheetViews>
  <sheetFormatPr defaultRowHeight="14.3"/>
  <sheetData>
    <row r="1" spans="2:6">
      <c r="B1" t="s">
        <v>475</v>
      </c>
      <c r="D1" t="s">
        <v>476</v>
      </c>
      <c r="F1" t="s">
        <v>477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9DCDB-6474-433C-940B-F51CF869582B}">
  <sheetPr>
    <tabColor rgb="FF00B0F0"/>
  </sheetPr>
  <dimension ref="A1:B2"/>
  <sheetViews>
    <sheetView workbookViewId="0">
      <selection activeCell="I46" sqref="I46"/>
    </sheetView>
  </sheetViews>
  <sheetFormatPr defaultRowHeight="14.3"/>
  <sheetData>
    <row r="1" spans="1:2">
      <c r="A1" t="s">
        <v>793</v>
      </c>
      <c r="B1" t="s">
        <v>807</v>
      </c>
    </row>
    <row r="2" spans="1:2">
      <c r="B2" t="s">
        <v>808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1D9B3-CF0A-49A8-900A-E4CD2C5114E9}">
  <dimension ref="A1:B6"/>
  <sheetViews>
    <sheetView workbookViewId="0">
      <selection activeCell="B7" sqref="B7"/>
    </sheetView>
  </sheetViews>
  <sheetFormatPr defaultRowHeight="14.3"/>
  <sheetData>
    <row r="1" spans="1:2">
      <c r="A1">
        <v>0</v>
      </c>
    </row>
    <row r="2" spans="1:2">
      <c r="A2">
        <v>1</v>
      </c>
      <c r="B2" t="s">
        <v>1206</v>
      </c>
    </row>
    <row r="3" spans="1:2">
      <c r="A3">
        <v>2</v>
      </c>
    </row>
    <row r="4" spans="1:2">
      <c r="A4">
        <v>3</v>
      </c>
      <c r="B4" t="s">
        <v>1207</v>
      </c>
    </row>
    <row r="5" spans="1:2">
      <c r="A5">
        <v>4</v>
      </c>
    </row>
    <row r="6" spans="1:2">
      <c r="A6">
        <v>5</v>
      </c>
      <c r="B6" t="s">
        <v>1208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361BB-2CF6-44E8-84F7-C76138036292}">
  <dimension ref="A1:B2"/>
  <sheetViews>
    <sheetView workbookViewId="0">
      <selection activeCell="A3" sqref="A3"/>
    </sheetView>
  </sheetViews>
  <sheetFormatPr defaultRowHeight="14.3"/>
  <sheetData>
    <row r="1" spans="1:2">
      <c r="A1" t="s">
        <v>1186</v>
      </c>
      <c r="B1" t="s">
        <v>1187</v>
      </c>
    </row>
    <row r="2" spans="1:2">
      <c r="A2" t="s">
        <v>1188</v>
      </c>
      <c r="B2" t="s">
        <v>1189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5BBC5-86F3-47DB-BABE-D1E22D51FB4E}">
  <dimension ref="A1:E34"/>
  <sheetViews>
    <sheetView workbookViewId="0">
      <selection activeCell="E15" sqref="E15"/>
    </sheetView>
  </sheetViews>
  <sheetFormatPr defaultColWidth="8.25" defaultRowHeight="14.3"/>
  <cols>
    <col min="1" max="1" width="8" bestFit="1" customWidth="1"/>
    <col min="2" max="2" width="8.625" bestFit="1" customWidth="1"/>
    <col min="3" max="3" width="9" bestFit="1" customWidth="1"/>
    <col min="4" max="4" width="20.25" bestFit="1" customWidth="1"/>
    <col min="5" max="5" width="58.125" bestFit="1" customWidth="1"/>
  </cols>
  <sheetData>
    <row r="1" spans="1:5">
      <c r="A1" t="s">
        <v>487</v>
      </c>
      <c r="B1" t="s">
        <v>210</v>
      </c>
      <c r="C1" t="s">
        <v>1190</v>
      </c>
      <c r="D1" t="s">
        <v>1192</v>
      </c>
      <c r="E1" t="s">
        <v>1191</v>
      </c>
    </row>
    <row r="2" spans="1:5">
      <c r="A2">
        <v>3</v>
      </c>
      <c r="B2" t="s">
        <v>1195</v>
      </c>
      <c r="C2" t="s">
        <v>187</v>
      </c>
      <c r="D2" t="str">
        <f t="shared" ref="D2:D34" si="0">"- "&amp; B2 &amp;" from "&amp; C2 &amp;","</f>
        <v>- Celestia from Discord,</v>
      </c>
      <c r="E2" t="s">
        <v>1196</v>
      </c>
    </row>
    <row r="3" spans="1:5">
      <c r="A3">
        <v>3</v>
      </c>
      <c r="B3" s="166" t="s">
        <v>1199</v>
      </c>
      <c r="C3" t="s">
        <v>189</v>
      </c>
      <c r="D3" t="str">
        <f t="shared" si="0"/>
        <v>- Felix from Instagram,</v>
      </c>
    </row>
    <row r="4" spans="1:5">
      <c r="A4">
        <v>3</v>
      </c>
      <c r="B4" t="s">
        <v>121</v>
      </c>
      <c r="C4" t="s">
        <v>187</v>
      </c>
      <c r="D4" t="str">
        <f t="shared" si="0"/>
        <v>- Pan from Discord,</v>
      </c>
      <c r="E4" t="s">
        <v>1201</v>
      </c>
    </row>
    <row r="5" spans="1:5">
      <c r="A5">
        <v>3</v>
      </c>
      <c r="B5" s="166"/>
      <c r="D5" t="str">
        <f t="shared" si="0"/>
        <v>-  from ,</v>
      </c>
    </row>
    <row r="6" spans="1:5">
      <c r="A6">
        <v>3</v>
      </c>
      <c r="B6" s="166"/>
      <c r="D6" t="str">
        <f t="shared" si="0"/>
        <v>-  from ,</v>
      </c>
    </row>
    <row r="7" spans="1:5">
      <c r="A7">
        <v>3</v>
      </c>
      <c r="D7" t="str">
        <f t="shared" si="0"/>
        <v>-  from ,</v>
      </c>
    </row>
    <row r="8" spans="1:5">
      <c r="A8">
        <v>4</v>
      </c>
      <c r="B8" s="166" t="s">
        <v>170</v>
      </c>
      <c r="C8" t="s">
        <v>187</v>
      </c>
      <c r="D8" t="str">
        <f t="shared" si="0"/>
        <v>- Caspy from Discord,</v>
      </c>
      <c r="E8" t="s">
        <v>1193</v>
      </c>
    </row>
    <row r="9" spans="1:5">
      <c r="A9">
        <v>4</v>
      </c>
      <c r="B9" t="s">
        <v>171</v>
      </c>
      <c r="C9" t="s">
        <v>189</v>
      </c>
      <c r="D9" t="str">
        <f t="shared" si="0"/>
        <v>- Cirro from Instagram,</v>
      </c>
      <c r="E9" t="s">
        <v>1200</v>
      </c>
    </row>
    <row r="10" spans="1:5">
      <c r="A10">
        <v>4</v>
      </c>
      <c r="B10" t="s">
        <v>1197</v>
      </c>
      <c r="C10" t="s">
        <v>187</v>
      </c>
      <c r="D10" t="str">
        <f t="shared" si="0"/>
        <v>- OxideXen from Discord,</v>
      </c>
      <c r="E10" t="s">
        <v>1198</v>
      </c>
    </row>
    <row r="11" spans="1:5">
      <c r="A11">
        <v>4</v>
      </c>
      <c r="B11" s="166" t="s">
        <v>169</v>
      </c>
      <c r="C11" t="s">
        <v>187</v>
      </c>
      <c r="D11" t="str">
        <f t="shared" si="0"/>
        <v>- Suya from Discord,</v>
      </c>
      <c r="E11" t="s">
        <v>1194</v>
      </c>
    </row>
    <row r="12" spans="1:5">
      <c r="A12">
        <v>4</v>
      </c>
      <c r="D12" t="str">
        <f t="shared" si="0"/>
        <v>-  from ,</v>
      </c>
    </row>
    <row r="13" spans="1:5">
      <c r="A13">
        <v>4</v>
      </c>
      <c r="D13" t="str">
        <f t="shared" si="0"/>
        <v>-  from ,</v>
      </c>
    </row>
    <row r="14" spans="1:5">
      <c r="A14">
        <v>5</v>
      </c>
      <c r="D14" t="str">
        <f t="shared" si="0"/>
        <v>-  from ,</v>
      </c>
    </row>
    <row r="15" spans="1:5">
      <c r="A15">
        <v>5</v>
      </c>
      <c r="D15" t="str">
        <f t="shared" si="0"/>
        <v>-  from ,</v>
      </c>
    </row>
    <row r="16" spans="1:5">
      <c r="A16">
        <v>5</v>
      </c>
      <c r="D16" t="str">
        <f t="shared" si="0"/>
        <v>-  from ,</v>
      </c>
    </row>
    <row r="17" spans="1:4">
      <c r="A17">
        <v>5</v>
      </c>
      <c r="D17" t="str">
        <f t="shared" si="0"/>
        <v>-  from ,</v>
      </c>
    </row>
    <row r="18" spans="1:4">
      <c r="A18">
        <v>5</v>
      </c>
      <c r="D18" t="str">
        <f t="shared" si="0"/>
        <v>-  from ,</v>
      </c>
    </row>
    <row r="19" spans="1:4">
      <c r="A19">
        <v>5</v>
      </c>
      <c r="D19" t="str">
        <f t="shared" si="0"/>
        <v>-  from ,</v>
      </c>
    </row>
    <row r="20" spans="1:4">
      <c r="A20">
        <v>5</v>
      </c>
      <c r="D20" t="str">
        <f t="shared" si="0"/>
        <v>-  from ,</v>
      </c>
    </row>
    <row r="21" spans="1:4">
      <c r="A21">
        <v>5</v>
      </c>
      <c r="D21" t="str">
        <f t="shared" si="0"/>
        <v>-  from ,</v>
      </c>
    </row>
    <row r="22" spans="1:4">
      <c r="A22">
        <v>5</v>
      </c>
      <c r="D22" t="str">
        <f t="shared" si="0"/>
        <v>-  from ,</v>
      </c>
    </row>
    <row r="23" spans="1:4">
      <c r="A23">
        <v>5</v>
      </c>
      <c r="D23" t="str">
        <f t="shared" si="0"/>
        <v>-  from ,</v>
      </c>
    </row>
    <row r="24" spans="1:4">
      <c r="A24">
        <v>5</v>
      </c>
      <c r="D24" t="str">
        <f t="shared" si="0"/>
        <v>-  from ,</v>
      </c>
    </row>
    <row r="25" spans="1:4">
      <c r="A25">
        <v>5</v>
      </c>
      <c r="D25" t="str">
        <f t="shared" si="0"/>
        <v>-  from ,</v>
      </c>
    </row>
    <row r="26" spans="1:4">
      <c r="A26">
        <v>5</v>
      </c>
      <c r="D26" t="str">
        <f t="shared" si="0"/>
        <v>-  from ,</v>
      </c>
    </row>
    <row r="27" spans="1:4">
      <c r="A27">
        <v>5</v>
      </c>
      <c r="D27" t="str">
        <f t="shared" si="0"/>
        <v>-  from ,</v>
      </c>
    </row>
    <row r="28" spans="1:4">
      <c r="A28">
        <v>5</v>
      </c>
      <c r="D28" t="str">
        <f t="shared" si="0"/>
        <v>-  from ,</v>
      </c>
    </row>
    <row r="29" spans="1:4">
      <c r="A29">
        <v>5</v>
      </c>
      <c r="D29" t="str">
        <f t="shared" si="0"/>
        <v>-  from ,</v>
      </c>
    </row>
    <row r="30" spans="1:4">
      <c r="A30">
        <v>5</v>
      </c>
      <c r="D30" t="str">
        <f t="shared" si="0"/>
        <v>-  from ,</v>
      </c>
    </row>
    <row r="31" spans="1:4">
      <c r="A31">
        <v>5</v>
      </c>
      <c r="D31" t="str">
        <f t="shared" si="0"/>
        <v>-  from ,</v>
      </c>
    </row>
    <row r="32" spans="1:4">
      <c r="A32">
        <v>5</v>
      </c>
      <c r="D32" t="str">
        <f t="shared" si="0"/>
        <v>-  from ,</v>
      </c>
    </row>
    <row r="33" spans="1:4">
      <c r="A33">
        <v>5</v>
      </c>
      <c r="D33" t="str">
        <f t="shared" si="0"/>
        <v>-  from ,</v>
      </c>
    </row>
    <row r="34" spans="1:4">
      <c r="A34">
        <v>5</v>
      </c>
      <c r="D34" t="str">
        <f t="shared" si="0"/>
        <v>-  from ,</v>
      </c>
    </row>
  </sheetData>
  <autoFilter ref="A1:E34" xr:uid="{2925BBC5-86F3-47DB-BABE-D1E22D51FB4E}">
    <sortState xmlns:xlrd2="http://schemas.microsoft.com/office/spreadsheetml/2017/richdata2" ref="A2:E34">
      <sortCondition ref="A2:A34"/>
      <sortCondition ref="B2:B34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1C90E3-481D-496A-899F-5D6CD1E5DB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29</vt:i4>
      </vt:variant>
      <vt:variant>
        <vt:lpstr>Charts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34" baseType="lpstr">
      <vt:lpstr>Intro</vt:lpstr>
      <vt:lpstr>Table of Content</vt:lpstr>
      <vt:lpstr>Quick Calc</vt:lpstr>
      <vt:lpstr>Reference</vt:lpstr>
      <vt:lpstr>Excel Changelogs</vt:lpstr>
      <vt:lpstr>Quotes from Co</vt:lpstr>
      <vt:lpstr>Idea</vt:lpstr>
      <vt:lpstr>Spacegames References</vt:lpstr>
      <vt:lpstr>Galaxy</vt:lpstr>
      <vt:lpstr>Planets</vt:lpstr>
      <vt:lpstr>Mindmap</vt:lpstr>
      <vt:lpstr>Planet Scale Example</vt:lpstr>
      <vt:lpstr>Celestial Body Comparison Neat</vt:lpstr>
      <vt:lpstr>Celestial Body Comparison</vt:lpstr>
      <vt:lpstr>Military Units</vt:lpstr>
      <vt:lpstr>AstroAutomotive</vt:lpstr>
      <vt:lpstr>Ship Classification</vt:lpstr>
      <vt:lpstr>Ship Naming</vt:lpstr>
      <vt:lpstr>Non-Space Vehicles</vt:lpstr>
      <vt:lpstr>Fleet Power</vt:lpstr>
      <vt:lpstr>Card Game Variabel</vt:lpstr>
      <vt:lpstr>Values</vt:lpstr>
      <vt:lpstr>AstroGeology</vt:lpstr>
      <vt:lpstr>AstroBiology</vt:lpstr>
      <vt:lpstr>Goverments</vt:lpstr>
      <vt:lpstr>Currency</vt:lpstr>
      <vt:lpstr>Eras</vt:lpstr>
      <vt:lpstr>AstroMagiology</vt:lpstr>
      <vt:lpstr>THanks</vt:lpstr>
      <vt:lpstr>Chart1</vt:lpstr>
      <vt:lpstr>Spacecrafts Comparison</vt:lpstr>
      <vt:lpstr>Light Capitals Comparison</vt:lpstr>
      <vt:lpstr>Capital Warship Comparison</vt:lpstr>
      <vt:lpstr>'Ship Classification'!Print_Titles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Space Military</dc:title>
  <dc:subject/>
  <dc:creator>William Skyfurs</dc:creator>
  <cp:keywords/>
  <dc:description/>
  <cp:lastModifiedBy>Wildan Mursalin</cp:lastModifiedBy>
  <cp:revision/>
  <cp:lastPrinted>2025-06-24T16:11:37Z</cp:lastPrinted>
  <dcterms:created xsi:type="dcterms:W3CDTF">2025-06-20T12:28:08Z</dcterms:created>
  <dcterms:modified xsi:type="dcterms:W3CDTF">2025-07-25T09:28:28Z</dcterms:modified>
  <cp:category/>
  <cp:contentStatus/>
</cp:coreProperties>
</file>